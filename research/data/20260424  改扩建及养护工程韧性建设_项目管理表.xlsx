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600" windowHeight="6840" firstSheet="1" activeTab="2"/>
  </bookViews>
  <sheets>
    <sheet name="实施计划" sheetId="3" state="hidden" r:id="rId1"/>
    <sheet name="需确认的资源" sheetId="7" r:id="rId2"/>
    <sheet name="实施计划确定" sheetId="8" r:id="rId3"/>
    <sheet name="交付清单" sheetId="11" r:id="rId4"/>
    <sheet name="风险管理" sheetId="9" r:id="rId5"/>
    <sheet name="成本管理" sheetId="10" r:id="rId6"/>
  </sheets>
  <definedNames>
    <definedName name="_xlnm._FilterDatabase" localSheetId="0" hidden="1">实施计划!$A$3:$M$55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K3" authorId="0">
      <text>
        <r>
          <rPr>
            <sz val="9"/>
            <rFont val="宋体"/>
            <charset val="134"/>
          </rPr>
          <t>现场环境上线时间</t>
        </r>
      </text>
    </comment>
    <comment ref="B5" authorId="0">
      <text>
        <r>
          <rPr>
            <b/>
            <sz val="8"/>
            <rFont val="宋体"/>
            <charset val="134"/>
          </rPr>
          <t>LENOVO:</t>
        </r>
        <r>
          <rPr>
            <sz val="8"/>
            <rFont val="宋体"/>
            <charset val="134"/>
          </rPr>
          <t>先设计一个模块流入开发，再逐步开展其他模块，不要因设计长时间流不到开发而使项目周期过长</t>
        </r>
      </text>
    </comment>
    <comment ref="B8" authorId="0">
      <text>
        <r>
          <rPr>
            <b/>
            <sz val="8"/>
            <rFont val="宋体"/>
            <charset val="134"/>
          </rPr>
          <t>LENOVO:</t>
        </r>
        <r>
          <rPr>
            <sz val="8"/>
            <rFont val="宋体"/>
            <charset val="134"/>
          </rPr>
          <t>所有需人工梳理基础数据、OD矩阵数据，均先准备4个施工路段的数据，其他路段数据再逐步推进。</t>
        </r>
      </text>
    </comment>
  </commentList>
</comments>
</file>

<file path=xl/sharedStrings.xml><?xml version="1.0" encoding="utf-8"?>
<sst xmlns="http://schemas.openxmlformats.org/spreadsheetml/2006/main" count="372" uniqueCount="229">
  <si>
    <t>【陕交控：养护施工分流决策与保通保收效果评估子系统】实施计划</t>
  </si>
  <si>
    <t>序号</t>
  </si>
  <si>
    <t>任务名称</t>
  </si>
  <si>
    <t>功能要求</t>
  </si>
  <si>
    <t>复用内容</t>
  </si>
  <si>
    <t>复用度
（比例）</t>
  </si>
  <si>
    <t>算法研究与开发</t>
  </si>
  <si>
    <t>系统功能开发（含测试）</t>
  </si>
  <si>
    <t>责任人</t>
  </si>
  <si>
    <t>工种</t>
  </si>
  <si>
    <t>工期
（人天）</t>
  </si>
  <si>
    <t>计划
开始时间</t>
  </si>
  <si>
    <t>计划
完成时间</t>
  </si>
  <si>
    <r>
      <rPr>
        <b/>
        <sz val="9"/>
        <rFont val="仿宋"/>
        <charset val="134"/>
      </rPr>
      <t xml:space="preserve">计划
</t>
    </r>
    <r>
      <rPr>
        <b/>
        <sz val="9"/>
        <color rgb="FFC00000"/>
        <rFont val="仿宋"/>
        <charset val="134"/>
      </rPr>
      <t>上线时间</t>
    </r>
  </si>
  <si>
    <t>需求与设计</t>
  </si>
  <si>
    <t>产品需求分析与原型</t>
  </si>
  <si>
    <t>产品需求分析说明书编写、原型绘制与评审</t>
  </si>
  <si>
    <t>赵兴武</t>
  </si>
  <si>
    <t>产品</t>
  </si>
  <si>
    <t>UI设计</t>
  </si>
  <si>
    <t>杨菁</t>
  </si>
  <si>
    <t>UI(3D)</t>
  </si>
  <si>
    <r>
      <rPr>
        <b/>
        <sz val="9"/>
        <color theme="1"/>
        <rFont val="仿宋"/>
        <charset val="134"/>
      </rPr>
      <t>管理端_系统功能</t>
    </r>
    <r>
      <rPr>
        <b/>
        <sz val="9"/>
        <color theme="9"/>
        <rFont val="仿宋"/>
        <charset val="134"/>
      </rPr>
      <t>（按优先级排序），产品经理梳理需要生成哪些数据，技术人员评估生成这些数据的工作量、时间安排</t>
    </r>
  </si>
  <si>
    <t>2.1</t>
  </si>
  <si>
    <t>施工影响</t>
  </si>
  <si>
    <t>2.1.1</t>
  </si>
  <si>
    <t>施工影响_异常波动监测</t>
  </si>
  <si>
    <r>
      <rPr>
        <sz val="9"/>
        <color rgb="FF000000"/>
        <rFont val="仿宋"/>
        <charset val="134"/>
      </rPr>
      <t>该功能是日常监测界面，监测断面的分车型日流量，支持设置流量环比增幅、降幅阈值（流量异常阈值），用不同颜色显示超阈值的断面，目的是让决策者知道当前路网哪些节点流量有较大幅度波动。支持分车型筛选。
场景：通过设置阈值，选择目标日期范围，选择对比形式（同比/环比），地图形式展示全路网超阈值的断面（增长、下降2个阈值，用不同颜色呈现）；鼠标移动到具体收费单元时，显示具体的车流量信息，包括目标时间段、对比时间段的日均分车型流量，增减幅度信息。显示超阈值的列表清单、车流量增减信息，按增减幅度从波动大到波动小排列，增减两个维度分类展示。</t>
    </r>
    <r>
      <rPr>
        <i/>
        <sz val="6"/>
        <color rgb="FF000000"/>
        <rFont val="仿宋"/>
        <charset val="134"/>
      </rPr>
      <t>——此时，用户需要自行判断哪些异常波动是施工引起的。</t>
    </r>
  </si>
  <si>
    <t>2.1.2</t>
  </si>
  <si>
    <t>施工影响_影响断面分析1</t>
  </si>
  <si>
    <r>
      <rPr>
        <sz val="9"/>
        <color rgb="FF000000"/>
        <rFont val="仿宋"/>
        <charset val="134"/>
      </rPr>
      <t>与2.1.1同一个界面，通过输入施工点、途径点、施工终点</t>
    </r>
    <r>
      <rPr>
        <i/>
        <sz val="6"/>
        <color rgb="FF000000"/>
        <rFont val="仿宋"/>
        <charset val="134"/>
      </rPr>
      <t>（筛选路线、起止点可能是桩号、名称，需要综合考虑）</t>
    </r>
    <r>
      <rPr>
        <sz val="9"/>
        <color rgb="FF000000"/>
        <rFont val="仿宋"/>
        <charset val="134"/>
      </rPr>
      <t>，将有可能是该路段施工引起的异常波动呈现出来（地图+清单）。</t>
    </r>
    <r>
      <rPr>
        <i/>
        <sz val="6"/>
        <color rgb="FF000000"/>
        <rFont val="仿宋"/>
        <charset val="134"/>
      </rPr>
      <t>——算法开发：需设计方法将哪些断面的异常波动是施工引起的找出来。</t>
    </r>
  </si>
  <si>
    <t>2.2</t>
  </si>
  <si>
    <t>通行费影响测算（施工前）</t>
  </si>
  <si>
    <t>2.2.1</t>
  </si>
  <si>
    <t>施工前测算</t>
  </si>
  <si>
    <r>
      <rPr>
        <sz val="9"/>
        <color rgb="FF000000"/>
        <rFont val="仿宋"/>
        <charset val="134"/>
      </rPr>
      <t>导出模板，按模板填写施工方案，上传施工方案后，点击测算，自动输出测算结果。默认绕行比例、保留比例均为1，支持设置不同的绕行比例、保留比例进行测算。</t>
    </r>
    <r>
      <rPr>
        <i/>
        <sz val="6"/>
        <color rgb="FF000000"/>
        <rFont val="仿宋"/>
        <charset val="134"/>
      </rPr>
      <t>——当前人工测算方法的程序化</t>
    </r>
  </si>
  <si>
    <t>2.1.3</t>
  </si>
  <si>
    <t>施工影响_影响断面分析2</t>
  </si>
  <si>
    <r>
      <rPr>
        <sz val="9"/>
        <color rgb="FF000000"/>
        <rFont val="仿宋"/>
        <charset val="134"/>
      </rPr>
      <t>与2.1.1同一个界面，鼠标移动至受影响断面，显示受影响的</t>
    </r>
    <r>
      <rPr>
        <b/>
        <sz val="9"/>
        <color rgb="FF000000"/>
        <rFont val="仿宋"/>
        <charset val="134"/>
      </rPr>
      <t>OD矩阵</t>
    </r>
    <r>
      <rPr>
        <sz val="9"/>
        <color rgb="FF000000"/>
        <rFont val="仿宋"/>
        <charset val="134"/>
      </rPr>
      <t>（OD矩阵指受施工影响需绕行相同路径的DO；分车型流量、绕行总里程/绕行通行费/绕行交控路段通行费与原路径的对比）；点击受影响断面，列表显示受影响的OD矩阵信息。</t>
    </r>
  </si>
  <si>
    <t>施工时间安排与交通影响（施工前）</t>
  </si>
  <si>
    <t>2.3.1</t>
  </si>
  <si>
    <t>最优施工方案辅助决策</t>
  </si>
  <si>
    <r>
      <rPr>
        <sz val="9"/>
        <color rgb="FF000000"/>
        <rFont val="仿宋"/>
        <charset val="134"/>
      </rPr>
      <t>在查询“施工时间安排与交通影响”后，通过筛选“保畅通/保收益/*”等不同目标后，输出</t>
    </r>
    <r>
      <rPr>
        <b/>
        <sz val="9"/>
        <color rgb="FF000000"/>
        <rFont val="仿宋"/>
        <charset val="134"/>
      </rPr>
      <t>符合目标的、最优的施工方案【施工方式、施工起止时间、通行费流失测算结果】</t>
    </r>
    <r>
      <rPr>
        <sz val="9"/>
        <color rgb="FF000000"/>
        <rFont val="仿宋"/>
        <charset val="134"/>
      </rPr>
      <t>；支持按不同目标切换显示。支持选择是否按策略实施。</t>
    </r>
  </si>
  <si>
    <t>2.3.2</t>
  </si>
  <si>
    <t>分流方案辅助决策</t>
  </si>
  <si>
    <r>
      <rPr>
        <sz val="9"/>
        <color rgb="FF000000"/>
        <rFont val="仿宋"/>
        <charset val="134"/>
      </rPr>
      <t>通过筛选“保畅通/保收益/*”等不同目标后，同步</t>
    </r>
    <r>
      <rPr>
        <b/>
        <sz val="9"/>
        <color rgb="FF000000"/>
        <rFont val="仿宋"/>
        <charset val="134"/>
      </rPr>
      <t>输出符合目标的具体的分流方案</t>
    </r>
    <r>
      <rPr>
        <sz val="9"/>
        <color rgb="FF000000"/>
        <rFont val="仿宋"/>
        <charset val="134"/>
      </rPr>
      <t>，并做可视化展示。</t>
    </r>
    <r>
      <rPr>
        <i/>
        <sz val="6"/>
        <color rgb="FF000000"/>
        <rFont val="仿宋"/>
        <charset val="134"/>
      </rPr>
      <t>——具体从哪些点分流，分流到哪些路径上。</t>
    </r>
  </si>
  <si>
    <t>2.3.3</t>
  </si>
  <si>
    <t>交通诱导与分流</t>
  </si>
  <si>
    <t>通过筛选“保畅通/保收益/*”等不同目标后，同步输出基于路网协同的智能分流计划，该计划相比传统模式，重点增加了“交控路网优先”的引导逻辑。包括分流诱导措施，各承接分流路段的分流承接能力，承接分流量；交通诱导点的位置，方式（如可变情报板文字、移动端预约通行系统推送、图商导航弹窗）、时长。
输出：分流点位置、待分流车辆、承接路段的承接能力；交通诱导方式，如哪些情报板发布什么信息，给移动端、图商导航地图推送分流方案等。通过筛选是否预约通行，输出预约基准信息，包括通行能力、允许通行车辆的车流量、预约通行最大车辆数。</t>
  </si>
  <si>
    <t>2.3.4</t>
  </si>
  <si>
    <r>
      <rPr>
        <sz val="9"/>
        <color rgb="FF000000"/>
        <rFont val="仿宋"/>
        <charset val="134"/>
      </rPr>
      <t>施工时间安排与交通影响</t>
    </r>
    <r>
      <rPr>
        <b/>
        <i/>
        <sz val="8"/>
        <color rgb="FFC00000"/>
        <rFont val="仿宋"/>
        <charset val="134"/>
      </rPr>
      <t>【决策过程】</t>
    </r>
  </si>
  <si>
    <r>
      <rPr>
        <sz val="9"/>
        <color rgb="FF000000"/>
        <rFont val="仿宋"/>
        <charset val="134"/>
      </rPr>
      <t>输入：施工位置起止点、方向、占路车道数、施工时长等施工信息，详细输入项以算法需求为准。支持输出多个施工工程，每个施工工程支持输入多种施工方案。
输出：展示不同施工时间安排及各项施工影响的OD矩阵信息，包括各od矩阵、各型车数量，可绕行的高速路线、国省道路线段，绕行距离，绕行时间成本，上高速概率，通行费流失量等信息。进行必要的可视化展示。
如：针对单个施工，输出不同施工方案的交通影响，如半幅施工，不同时间段施工【如3-5月施工；5-7月施工】，</t>
    </r>
    <r>
      <rPr>
        <b/>
        <sz val="9"/>
        <color rgb="FF000000"/>
        <rFont val="仿宋"/>
        <charset val="134"/>
      </rPr>
      <t>影响哪些OD矩阵的车辆、影响多少，有哪些绕行路径，各绕行路径与原路径的通行费、里程对比、绕行的可能性、通行费流失情况。</t>
    </r>
    <r>
      <rPr>
        <sz val="9"/>
        <color rgb="FF000000"/>
        <rFont val="仿宋"/>
        <charset val="134"/>
      </rPr>
      <t>针对多个施工工程，以施工组为一个整体，按组输出，每组施工时间安排与交通影响均需涵盖所有施工工程。</t>
    </r>
  </si>
  <si>
    <t>保通保收效果评估</t>
  </si>
  <si>
    <t>2.4.1</t>
  </si>
  <si>
    <t>传统施工交通组织测算</t>
  </si>
  <si>
    <t>输入：施工方案信息（施工方式、施工起止时间、施工起止点、施工方向等）
输出：通行费流失测算结果。如果要按该方案实施，支持输入通行费流失控制阈值进入跟踪监测过程。</t>
  </si>
  <si>
    <t>2.4.2</t>
  </si>
  <si>
    <t>流量跟踪与动态调整</t>
  </si>
  <si>
    <t>输入：“养护施工分流决策模块”确定的最优施工方案、分流方案、交通诱导方案；或“传统施工交通组织测算”确定进入跟踪监测的施工事件。
输出：按旬自动对比实际执行结果与控制阈值的偏差情况，超阈值时告警，同步展示流量偏离预期的主要OD、车型；展示动态调整策略，如增加新的车辆诱导方式、新的分流路径，需突出显示与原策略的差异。</t>
  </si>
  <si>
    <t>2.4.3</t>
  </si>
  <si>
    <t>实施效果评估</t>
  </si>
  <si>
    <t>支持按旬、月查阅通行费影响分析报表、车辆OD分流分析报表、安全策略实施效果统计报表，为实施效果评估报告提供数据基础。</t>
  </si>
  <si>
    <t>契约通行管理</t>
  </si>
  <si>
    <t>2.5.1</t>
  </si>
  <si>
    <t>预约车辆管理</t>
  </si>
  <si>
    <t>支持查询预约车辆明细、预约车辆通行状态等信息；直观展示各时段预约饱和度（预约量达到允许的通行能力则为“饱和”）；对“违规”通行行为，自动下发提醒指令至移动端。</t>
  </si>
  <si>
    <t>2.5.2</t>
  </si>
  <si>
    <t>车辆信用等级管理</t>
  </si>
  <si>
    <t>支持信用评分规则录入、信用积分等级划分；支持对不同等级车辆的预约优先级自定义（如预约量达到80%时，仅支持高信用等级车辆预约通行）；支持对信用等级较差用户的管理，建立灰名单，灰名单车辆在一定周期内禁止预约通行；支持自定义一定周期内灰名单车辆的自动解除。</t>
  </si>
  <si>
    <t>2.5.3</t>
  </si>
  <si>
    <t>车辆信用等级查询</t>
  </si>
  <si>
    <t>支持查询各车辆的信用等级明细、支持信用等级不同维度分类统计。</t>
  </si>
  <si>
    <t>通行安全监测</t>
  </si>
  <si>
    <t>在“陕西交控应急指挥调度系统”大屏展示模块新增“通行安全监测”大屏，实时展示施工路段的车流情况、预约通行车辆的实车状态，包括车速、车间距等信息，在相关信息达到阈值时，进行告警提醒。</t>
  </si>
  <si>
    <t>2.6.1</t>
  </si>
  <si>
    <t>通行概览</t>
  </si>
  <si>
    <t>通行能力、实际车流量、预约车辆占比；（当日、按小时更新）</t>
  </si>
  <si>
    <t>2.6.2</t>
  </si>
  <si>
    <t>预约概览</t>
  </si>
  <si>
    <t>预约通行阈值、实际预约车辆、预约率、预约履约率；（当日、按小时更新）</t>
  </si>
  <si>
    <t>2.6.3</t>
  </si>
  <si>
    <t>监测看板</t>
  </si>
  <si>
    <t>限速、限距、当日预约通行车辆数、当日违规车辆数、违规率；（当日、按小时更新）</t>
  </si>
  <si>
    <t>2.6.4</t>
  </si>
  <si>
    <t>施工区域看板</t>
  </si>
  <si>
    <t>预约车位置Web3D展示、时速/车距悬浮展示；告警：告警车辆突出显示、声音告警；</t>
  </si>
  <si>
    <t>2.6.5</t>
  </si>
  <si>
    <t>违规闯入车辆</t>
  </si>
  <si>
    <t>日闯入车辆数、在途闯入车辆数、在途闯入车辆清单。</t>
  </si>
  <si>
    <t>移动端_预约通行</t>
  </si>
  <si>
    <t>查看实时路况</t>
  </si>
  <si>
    <t>3.1.1</t>
  </si>
  <si>
    <t>自动定位</t>
  </si>
  <si>
    <t>系统自动定位最近路段，查看实时路况信息。</t>
  </si>
  <si>
    <t>3.1.2</t>
  </si>
  <si>
    <t>路况查询</t>
  </si>
  <si>
    <t>输入起止点，显示路径信息（支持多路径切换），支持查看路径上的：天气信息通知；道路拥堵情况；收费站（通道开放情况）；服务区（所提供服务）；施工管制路段信息，发送道路养护、施工等信息；尚未处理完结的事故信息。</t>
  </si>
  <si>
    <t>3.1.3</t>
  </si>
  <si>
    <t>预约提醒</t>
  </si>
  <si>
    <t>若目标路径上有因施工需预约通行路段，则弹出是否预约通行提醒。</t>
  </si>
  <si>
    <t>预约通行</t>
  </si>
  <si>
    <t>3.2.1</t>
  </si>
  <si>
    <t>1）在“查看实时路况”时，若有需预约通行路段，则弹出预约提醒，可进行预约或取消。
2）预约仅限于注册用户所绑定车辆进行预约，需填报出行时间、预约出行起点、终点、联系电话等信息。
3）后台根据起止点、预约时间，结合当前路况预测车辆通行施工管制路段的时间，根据施工管制区段的通行能力、已预约车辆数，提示“预约成功”或推荐“可预约时段”。</t>
  </si>
  <si>
    <t>3.2.2</t>
  </si>
  <si>
    <t>信用积分</t>
  </si>
  <si>
    <t>1）预约车辆通行时，需全程开启“预约通行系统”，并使用其导航。车辆在行驶至施工管制路段时，按语音导航提醒通行，禁止超速、超车、疲劳驾驶等危险驾驶行为。根据车辆通行行为，计算信用积分。
2）信用较差用户在一定时期内禁止预约通行，能查看禁止预约通行信息。
3）用户信用积分查询，信用积分明细查询。</t>
  </si>
  <si>
    <t>伴随式导航信息提醒</t>
  </si>
  <si>
    <t>3.3.1</t>
  </si>
  <si>
    <t>突发事件提醒</t>
  </si>
  <si>
    <t>通行路径上的突发事件提醒</t>
  </si>
  <si>
    <t>3.3.2</t>
  </si>
  <si>
    <t>抛洒物提醒</t>
  </si>
  <si>
    <t>对于路上出现的抛洒物，在路政赴现场之前，自动语音消息提醒，提前预警，告知同向接近车辆。</t>
  </si>
  <si>
    <t>3.3.3</t>
  </si>
  <si>
    <t>临时道路管制提醒</t>
  </si>
  <si>
    <t>临时道路管制信息提醒</t>
  </si>
  <si>
    <t>3.3.4</t>
  </si>
  <si>
    <t>分流引导提醒</t>
  </si>
  <si>
    <t>根据临时分流诱导策略，给移动端发送分流引导信息</t>
  </si>
  <si>
    <t>3.3.5</t>
  </si>
  <si>
    <t>车距提醒</t>
  </si>
  <si>
    <t>通行施工预约路段时，在行驶过程中，可以提醒司乘人员与前面的车辆距离，保持安全距离</t>
  </si>
  <si>
    <t>3.3.6</t>
  </si>
  <si>
    <t>车速提醒</t>
  </si>
  <si>
    <t>通行施工预约路段时，可以提醒司乘人员车速，保持安全车速，或者超速提醒。</t>
  </si>
  <si>
    <t>其他功能</t>
  </si>
  <si>
    <t>3.4.1</t>
  </si>
  <si>
    <t>云端视频查看</t>
  </si>
  <si>
    <t>通过手机查看云端实时监控视频（云端视频仅限视频上云对社会公众开放的部分监控摄像机）。适用于场景：进入主路前，进入收费站前，出入隧道前，拥堵、突发事件、恶劣天气等路况的确认查看。</t>
  </si>
  <si>
    <t>3.4.2</t>
  </si>
  <si>
    <t>路况上报</t>
  </si>
  <si>
    <t>出行途中发生、发现拥堵或交通事故时，将信息快速报送至管理单位，支持：视频、图片形式上传。对司乘用户的“问询”及“上报路况”以语音、图片、文字方式回复拥堵原因及恢复交通时间，避免热线电话的占线和大量重复回电。</t>
  </si>
  <si>
    <t>3.4.3</t>
  </si>
  <si>
    <t>消息群发</t>
  </si>
  <si>
    <t>日常调度、拥堵等信息一键批量通知预约用户，及时通知司乘人员。</t>
  </si>
  <si>
    <t>合计（人*天）</t>
  </si>
  <si>
    <t>编号</t>
  </si>
  <si>
    <t>名称</t>
  </si>
  <si>
    <t>内容</t>
  </si>
  <si>
    <t>确认结果</t>
  </si>
  <si>
    <t>数据源获取方式</t>
  </si>
  <si>
    <r>
      <rPr>
        <b/>
        <sz val="11"/>
        <color rgb="FFC00000"/>
        <rFont val="宋体"/>
        <charset val="134"/>
        <scheme val="minor"/>
      </rPr>
      <t>方案一：</t>
    </r>
    <r>
      <rPr>
        <sz val="11"/>
        <color theme="1"/>
        <rFont val="宋体"/>
        <charset val="134"/>
        <scheme val="minor"/>
      </rPr>
      <t>在收费中心监控系统数据分析平台完成数据分析，分析结果推送至交控应急指挥调度系统</t>
    </r>
  </si>
  <si>
    <r>
      <rPr>
        <b/>
        <sz val="11"/>
        <color rgb="FFC00000"/>
        <rFont val="宋体"/>
        <charset val="134"/>
        <scheme val="minor"/>
      </rPr>
      <t>方案二：</t>
    </r>
    <r>
      <rPr>
        <sz val="11"/>
        <color theme="1"/>
        <rFont val="宋体"/>
        <charset val="134"/>
        <scheme val="minor"/>
      </rPr>
      <t>数据中台建成后，从数据中台获取本系统所需数据（主要是收费系统相关数据）</t>
    </r>
  </si>
  <si>
    <t>算力资源</t>
  </si>
  <si>
    <t>若采用方案二：除数据源外，数据中台需提供本系统的算力资源。</t>
  </si>
  <si>
    <t>基础信息获取</t>
  </si>
  <si>
    <t>需配合安排专人协调获取道路相关信息。如普通公路施工、高速公路施工信息，重大活动信息等影响道路通行、车流特征变化的其他事件信息。</t>
  </si>
  <si>
    <t>预约通行管制设备、设施</t>
  </si>
  <si>
    <t>AI劝导哨兵、栏杆机、可变限速/限距等，建议由建设单位提供。</t>
  </si>
  <si>
    <r>
      <rPr>
        <b/>
        <sz val="9"/>
        <color rgb="FF000000"/>
        <rFont val="仿宋"/>
        <charset val="134"/>
      </rPr>
      <t>复用度</t>
    </r>
    <r>
      <rPr>
        <b/>
        <sz val="9"/>
        <color rgb="FF000000"/>
        <rFont val="仿宋"/>
        <charset val="134"/>
      </rPr>
      <t xml:space="preserve">
</t>
    </r>
    <r>
      <rPr>
        <b/>
        <sz val="9"/>
        <color rgb="FF000000"/>
        <rFont val="仿宋"/>
        <charset val="134"/>
      </rPr>
      <t>（比例）</t>
    </r>
  </si>
  <si>
    <t>产品设计</t>
  </si>
  <si>
    <t>实际进展</t>
  </si>
  <si>
    <t>人天</t>
  </si>
  <si>
    <t>设计完成时间</t>
  </si>
  <si>
    <r>
      <rPr>
        <b/>
        <sz val="9"/>
        <color rgb="FF000000"/>
        <rFont val="仿宋"/>
        <charset val="134"/>
      </rPr>
      <t>工期</t>
    </r>
    <r>
      <rPr>
        <b/>
        <sz val="9"/>
        <color rgb="FF000000"/>
        <rFont val="仿宋"/>
        <charset val="134"/>
      </rPr>
      <t xml:space="preserve">
</t>
    </r>
    <r>
      <rPr>
        <b/>
        <sz val="9"/>
        <color rgb="FF000000"/>
        <rFont val="仿宋"/>
        <charset val="134"/>
      </rPr>
      <t>（人天）</t>
    </r>
  </si>
  <si>
    <r>
      <rPr>
        <b/>
        <sz val="9"/>
        <color rgb="FF000000"/>
        <rFont val="仿宋"/>
        <charset val="134"/>
      </rPr>
      <t>计划</t>
    </r>
    <r>
      <rPr>
        <b/>
        <sz val="9"/>
        <color rgb="FF000000"/>
        <rFont val="仿宋"/>
        <charset val="134"/>
      </rPr>
      <t xml:space="preserve">
</t>
    </r>
    <r>
      <rPr>
        <b/>
        <sz val="9"/>
        <color rgb="FF000000"/>
        <rFont val="仿宋"/>
        <charset val="134"/>
      </rPr>
      <t>开始时间</t>
    </r>
  </si>
  <si>
    <r>
      <rPr>
        <b/>
        <sz val="9"/>
        <color rgb="FF000000"/>
        <rFont val="仿宋"/>
        <charset val="134"/>
      </rPr>
      <t>计划</t>
    </r>
    <r>
      <rPr>
        <b/>
        <sz val="9"/>
        <color rgb="FF000000"/>
        <rFont val="仿宋"/>
        <charset val="134"/>
      </rPr>
      <t xml:space="preserve">
</t>
    </r>
    <r>
      <rPr>
        <b/>
        <sz val="9"/>
        <color rgb="FF000000"/>
        <rFont val="仿宋"/>
        <charset val="134"/>
      </rPr>
      <t>完成时间</t>
    </r>
  </si>
  <si>
    <t>进度</t>
  </si>
  <si>
    <r>
      <rPr>
        <b/>
        <sz val="9"/>
        <color rgb="FF000000"/>
        <rFont val="仿宋"/>
        <charset val="134"/>
      </rPr>
      <t>计划</t>
    </r>
    <r>
      <rPr>
        <b/>
        <sz val="9"/>
        <color rgb="FF000000"/>
        <rFont val="仿宋"/>
        <charset val="134"/>
      </rPr>
      <t xml:space="preserve">
</t>
    </r>
    <r>
      <rPr>
        <b/>
        <sz val="9"/>
        <color rgb="FFC00000"/>
        <rFont val="仿宋"/>
        <charset val="134"/>
      </rPr>
      <t>上线时间</t>
    </r>
  </si>
  <si>
    <t>实际开始</t>
  </si>
  <si>
    <t>实际结束</t>
  </si>
  <si>
    <t>耗时（天）</t>
  </si>
  <si>
    <r>
      <rPr>
        <b/>
        <sz val="9"/>
        <color rgb="FF000000"/>
        <rFont val="仿宋"/>
        <charset val="134"/>
      </rPr>
      <t>管理端_系统功能</t>
    </r>
    <r>
      <rPr>
        <b/>
        <sz val="9"/>
        <color rgb="FFE54C5E"/>
        <rFont val="仿宋"/>
        <charset val="134"/>
      </rPr>
      <t>（按优先级排序），产品经理梳理需要生成哪些数据，技术人员评估生成这些数据的工作量、时间安排</t>
    </r>
  </si>
  <si>
    <t>临时1</t>
  </si>
  <si>
    <t>西永、福银通行费流失测算（人工），临时任务</t>
  </si>
  <si>
    <t>西永</t>
  </si>
  <si>
    <t>1个施工方案：浩宇梳理方法，数据组做测算，完成初稿后双方互相校验</t>
  </si>
  <si>
    <t>孙浩宇</t>
  </si>
  <si>
    <t>https://oa.ruitong369.com/biz/task-view-61561.html
https://oa.ruitong369.com/biz/task-view-60232.html</t>
  </si>
  <si>
    <t>合浦</t>
  </si>
  <si>
    <r>
      <rPr>
        <sz val="9"/>
        <color rgb="FF000000"/>
        <rFont val="仿宋"/>
        <charset val="134"/>
      </rPr>
      <t xml:space="preserve">2个施工方案：浩宇梳理方法，数据组做测算，完成初稿后双方互相校验
</t>
    </r>
    <r>
      <rPr>
        <sz val="9"/>
        <color rgb="FFFF0000"/>
        <rFont val="仿宋"/>
        <charset val="134"/>
      </rPr>
      <t>浩宇利用工作间隙，梳理2.1项算法。</t>
    </r>
  </si>
  <si>
    <t>临时2</t>
  </si>
  <si>
    <t>福银动态跟踪</t>
  </si>
  <si>
    <r>
      <rPr>
        <sz val="9"/>
        <color rgb="FF000000"/>
        <rFont val="仿宋"/>
        <charset val="134"/>
      </rPr>
      <t xml:space="preserve">用3月数据测算实际分流情况、通行费流失情况，一是找通行费流失测算的方法是否有漏洞【如：绕行通行费增幅与绕行比例的关系、路段实际保留比例与测算用比例是否一致】；二是找车辆未按预期分流的，或分流比例较低未达预期的，提供分流优化方案。
</t>
    </r>
    <r>
      <rPr>
        <sz val="9"/>
        <color rgb="FFFF0000"/>
        <rFont val="仿宋"/>
        <charset val="134"/>
      </rPr>
      <t>要求：浩宇梳理测算方法，数据组做测算，最好模板化，提升持续跟踪的评估的效率。评估后续持续跟踪的时间，初步是按周输出。</t>
    </r>
  </si>
  <si>
    <t>https://oa.ruitong369.com/biz/task-view-61202.html
https://oa.ruitong369.com/biz/task-view-60172.html
https://oa.ruitong369.com/biz/task-view-61739.html</t>
  </si>
  <si>
    <r>
      <t>导出模板，按模板填写施工方案，上传施工方案后，点击测算，自动输出测算结果。默认绕行比例、保留比例均为1，支持设置不同的绕行比例、保留比例进行测算。</t>
    </r>
    <r>
      <rPr>
        <i/>
        <sz val="6"/>
        <color rgb="FF000000"/>
        <rFont val="仿宋"/>
        <charset val="134"/>
      </rPr>
      <t>——当前人工测算方法的程序化</t>
    </r>
  </si>
  <si>
    <r>
      <rPr>
        <sz val="9"/>
        <color rgb="FF000000"/>
        <rFont val="仿宋"/>
        <charset val="134"/>
      </rPr>
      <t>该功能是日常监测界面，监测断面的分车型日流量，支持设置流量环比增幅、降幅阈值（流量异常阈值），用不同颜色显示超阈值的断面，目的是让决策者知道当前路网哪些节点流量有较大幅度波动。支持分车型筛选。</t>
    </r>
    <r>
      <rPr>
        <sz val="9"/>
        <color rgb="FF000000"/>
        <rFont val="仿宋"/>
        <charset val="134"/>
      </rPr>
      <t xml:space="preserve">
</t>
    </r>
    <r>
      <rPr>
        <sz val="9"/>
        <color rgb="FF000000"/>
        <rFont val="仿宋"/>
        <charset val="134"/>
      </rPr>
      <t>场景：通过设置阈值，选择目标日期范围，选择对比形式（同比/环比），地图形式展示全路网超阈值的断面（增长、下降2个阈值，用不同颜色呈现）；鼠标移动到具体收费单元时，显示具体的车流量信息，包括目标时间段、对比时间段的日均分车型流量，增减幅度信息。显示超阈值的列表清单、车流量增减信息，按增减幅度从波动大到波动小排列，增减两个维度分类展示。</t>
    </r>
    <r>
      <rPr>
        <i/>
        <sz val="6"/>
        <color rgb="FF000000"/>
        <rFont val="仿宋"/>
        <charset val="134"/>
      </rPr>
      <t>——此时，用户需要自行判断哪些异常波动是施工引起的。</t>
    </r>
  </si>
  <si>
    <r>
      <rPr>
        <sz val="9"/>
        <color rgb="FF000000"/>
        <rFont val="仿宋"/>
        <charset val="134"/>
      </rPr>
      <t>通过筛选“保畅通/保收益/*”等不同目标后，同步输出基于路网协同的智能分流计划，该计划相比传统模式，重点增加了“交控路网优先”的引导逻辑。包括分流诱导措施，各承接分流路段的分流承接能力，承接分流量；交通诱导点的位置，方式（如可变情报板文字、移动端预约通行系统推送、图商导航弹窗）、时长。</t>
    </r>
    <r>
      <rPr>
        <sz val="9"/>
        <color rgb="FF000000"/>
        <rFont val="仿宋"/>
        <charset val="134"/>
      </rPr>
      <t xml:space="preserve">
</t>
    </r>
    <r>
      <rPr>
        <sz val="9"/>
        <color rgb="FF000000"/>
        <rFont val="仿宋"/>
        <charset val="134"/>
      </rPr>
      <t>输出：分流点位置、待分流车辆、承接路段的承接能力；交通诱导方式，如哪些情报板发布什么信息，给移动端、图商导航地图推送分流方案等。通过筛选是否预约通行，输出预约基准信息，包括通行能力、允许通行车辆的车流量、预约通行最大车辆数。</t>
    </r>
  </si>
  <si>
    <r>
      <rPr>
        <sz val="9"/>
        <rFont val="仿宋"/>
        <charset val="134"/>
      </rPr>
      <t>输入：施工位置起止点、方向、占路车道数、施工时长等施工信息，详细输入项以算法需求为准。支持输出多个施工工程，每个施工工程支持输入多种施工方案。
输出：展示不同施工时间安排及各项施工影响的OD矩阵信息，包括各od矩阵、各型车数量，可绕行的高速路线、国省道路线段，绕行距离，绕行时间成本，上高速概率，通行费流失量等信息。进行必要的可视化展示。
如：针对单个施工，输出不同施工方案的交通影响，如半幅施工，不同时间段施工【如3-5月施工；5-7月施工】，</t>
    </r>
    <r>
      <rPr>
        <b/>
        <sz val="9"/>
        <rFont val="仿宋"/>
        <charset val="134"/>
      </rPr>
      <t>影响哪些OD矩阵的车辆、影响多少，有哪些绕行路径，各绕行路径与原路径的通行费、里程对比、绕行的可能性、通行费流失情况。</t>
    </r>
    <r>
      <rPr>
        <sz val="9"/>
        <rFont val="仿宋"/>
        <charset val="134"/>
      </rPr>
      <t>针对多个施工工程，以施工组为一个整体，按组输出，每组施工时间安排与交通影响均需涵盖所有施工工程。</t>
    </r>
  </si>
  <si>
    <r>
      <rPr>
        <sz val="9"/>
        <color rgb="FF000000"/>
        <rFont val="仿宋"/>
        <charset val="134"/>
      </rPr>
      <t>输入：施工方案信息（施工方式、施工起止时间、施工起止点、施工方向等）</t>
    </r>
    <r>
      <rPr>
        <sz val="9"/>
        <color rgb="FF000000"/>
        <rFont val="仿宋"/>
        <charset val="134"/>
      </rPr>
      <t xml:space="preserve">
</t>
    </r>
    <r>
      <rPr>
        <sz val="9"/>
        <color rgb="FF000000"/>
        <rFont val="仿宋"/>
        <charset val="134"/>
      </rPr>
      <t>输出：通行费流失测算结果。如果要按该方案实施，支持输入通行费流失控制阈值进入跟踪监测过程。</t>
    </r>
  </si>
  <si>
    <r>
      <rPr>
        <sz val="9"/>
        <color rgb="FF000000"/>
        <rFont val="仿宋"/>
        <charset val="134"/>
      </rPr>
      <t>输入：“养护施工分流决策模块”确定的最优施工方案、分流方案、交通诱导方案；或“传统施工交通组织测算”确定进入跟踪监测的施工事件。</t>
    </r>
    <r>
      <rPr>
        <sz val="9"/>
        <color rgb="FF000000"/>
        <rFont val="仿宋"/>
        <charset val="134"/>
      </rPr>
      <t xml:space="preserve">
</t>
    </r>
    <r>
      <rPr>
        <sz val="9"/>
        <color rgb="FF000000"/>
        <rFont val="仿宋"/>
        <charset val="134"/>
      </rPr>
      <t>输出：按旬自动对比实际执行结果与控制阈值的偏差情况，超阈值时告警，同步展示流量偏离预期的主要OD、车型；展示动态调整策略，如增加新的车辆诱导方式、新的分流路径，需突出显示与原策略的差异。</t>
    </r>
  </si>
  <si>
    <r>
      <rPr>
        <sz val="9"/>
        <color rgb="FF000000"/>
        <rFont val="仿宋"/>
        <charset val="134"/>
      </rPr>
      <t>1）在“查看实时路况”时，若有需预约通行路段，则弹出预约提醒，可进行预约或取消。</t>
    </r>
    <r>
      <rPr>
        <sz val="9"/>
        <color rgb="FF000000"/>
        <rFont val="仿宋"/>
        <charset val="134"/>
      </rPr>
      <t xml:space="preserve">
</t>
    </r>
    <r>
      <rPr>
        <sz val="9"/>
        <color rgb="FF000000"/>
        <rFont val="仿宋"/>
        <charset val="134"/>
      </rPr>
      <t>2）预约仅限于注册用户所绑定车辆进行预约，需填报出行时间、预约出行起点、终点、联系电话等信息。</t>
    </r>
    <r>
      <rPr>
        <sz val="9"/>
        <color rgb="FF000000"/>
        <rFont val="仿宋"/>
        <charset val="134"/>
      </rPr>
      <t xml:space="preserve">
</t>
    </r>
    <r>
      <rPr>
        <sz val="9"/>
        <color rgb="FF000000"/>
        <rFont val="仿宋"/>
        <charset val="134"/>
      </rPr>
      <t>3）后台根据起止点、预约时间，结合当前路况预测车辆通行施工管制路段的时间，根据施工管制区段的通行能力、已预约车辆数，提示“预约成功”或推荐“可预约时段”。</t>
    </r>
  </si>
  <si>
    <r>
      <rPr>
        <sz val="9"/>
        <color rgb="FF000000"/>
        <rFont val="仿宋"/>
        <charset val="134"/>
      </rPr>
      <t>1）预约车辆通行时，需全程开启“预约通行系统”，并使用其导航。车辆在行驶至施工管制路段时，按语音导航提醒通行，禁止超速、超车、疲劳驾驶等危险驾驶行为。根据车辆通行行为，计算信用积分。</t>
    </r>
    <r>
      <rPr>
        <sz val="9"/>
        <color rgb="FF000000"/>
        <rFont val="仿宋"/>
        <charset val="134"/>
      </rPr>
      <t xml:space="preserve">
</t>
    </r>
    <r>
      <rPr>
        <sz val="9"/>
        <color rgb="FF000000"/>
        <rFont val="仿宋"/>
        <charset val="134"/>
      </rPr>
      <t>2）信用较差用户在一定时期内禁止预约通行，能查看禁止预约通行信息。</t>
    </r>
    <r>
      <rPr>
        <sz val="9"/>
        <color rgb="FF000000"/>
        <rFont val="仿宋"/>
        <charset val="134"/>
      </rPr>
      <t xml:space="preserve">
</t>
    </r>
    <r>
      <rPr>
        <sz val="9"/>
        <color rgb="FF000000"/>
        <rFont val="仿宋"/>
        <charset val="134"/>
      </rPr>
      <t>3）用户信用积分查询，信用积分明细查询。</t>
    </r>
  </si>
  <si>
    <t>【改扩建韧性提升】交付清单</t>
  </si>
  <si>
    <t>类别</t>
  </si>
  <si>
    <t>子类别</t>
  </si>
  <si>
    <t>详细内容</t>
  </si>
  <si>
    <t>数量</t>
  </si>
  <si>
    <t>单位</t>
  </si>
  <si>
    <t>变更原因</t>
  </si>
  <si>
    <t>状态</t>
  </si>
  <si>
    <t>确认情况</t>
  </si>
  <si>
    <t>交付形式</t>
  </si>
  <si>
    <t>时间</t>
  </si>
  <si>
    <t>算法层面</t>
  </si>
  <si>
    <t>算法支持的功能</t>
  </si>
  <si>
    <t>1.1</t>
  </si>
  <si>
    <t>支持的功能：导出模板，按模板填写施工方案，上传施工方案后，点击测算，自动输出测算结果。默认绕行比例、保留比例均为1，支持设置不同的绕行比例、保留比例进行测算。——当前人工测算方法的程序化</t>
  </si>
  <si>
    <t>套</t>
  </si>
  <si>
    <t>1.2</t>
  </si>
  <si>
    <t>与2.1.1同一个界面，通过输入施工点、途径点、施工终点（筛选路线、起止点可能是桩号、名称，需要综合考虑），将有可能是该路段施工引起的异常波动呈现出来（地图+清单）。——算法开发：需设计方法将哪些断面的异常波动是施工引起的找出来。</t>
  </si>
  <si>
    <t>1.3</t>
  </si>
  <si>
    <t>在查询“施工时间安排与交通影响”后，通过筛选“保畅通/保收益/*”等不同目标后，输出符合目标的、最优的施工方案【施工方式、施工起止时间、通行费流失测算结果】；支持按不同目标切换显示。支持选择是否按策略实施。</t>
  </si>
  <si>
    <t>验收标准</t>
  </si>
  <si>
    <t>1.所有功能模块按照需求规格说明书中的描述进行开发和实现。
2.每个功能模块的主要功能能够正常运行，并通过测试进行验证和确认。
3.系统具备良好的用户界面和用户体验，易于操作和使用.
4.所有功能模块符合相关法律法规和安全标准要求。
5.按照交付清单中的内容进行用户现场验收。</t>
  </si>
  <si>
    <t>甲方签字：                       日期：</t>
  </si>
  <si>
    <t>乙方签字：                       日期：</t>
  </si>
  <si>
    <t>项目风险与待确认项</t>
  </si>
  <si>
    <t>风险类别</t>
  </si>
  <si>
    <t>风险项</t>
  </si>
  <si>
    <t>风险状态</t>
  </si>
  <si>
    <t>风险责任人</t>
  </si>
  <si>
    <t>评估时间</t>
  </si>
  <si>
    <t>根本原因</t>
  </si>
  <si>
    <t>风险进展信息</t>
  </si>
  <si>
    <t>提交人</t>
  </si>
  <si>
    <t>详情描述</t>
  </si>
  <si>
    <t>影响程度</t>
  </si>
  <si>
    <t>行动计划</t>
  </si>
  <si>
    <t>期望结果</t>
  </si>
  <si>
    <t>获取设备接口协议或与首讯系统对接。</t>
  </si>
  <si>
    <t>解决问题</t>
  </si>
  <si>
    <t>不扣违约金</t>
  </si>
  <si>
    <t>项目总成本（万元）</t>
  </si>
  <si>
    <t>项目完成百分比</t>
  </si>
  <si>
    <t>计划支出成本（万元）</t>
  </si>
  <si>
    <t>实际支出成本（万元）</t>
  </si>
  <si>
    <t>成本对比（实际/计划）：完成计划的</t>
  </si>
  <si>
    <t>临时通行费流失测试任务，耗时较大。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</si>
</sst>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\-mm\-dd;@"/>
    <numFmt numFmtId="178" formatCode="0_ "/>
  </numFmts>
  <fonts count="4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仿宋"/>
      <family val="3"/>
      <charset val="134"/>
    </font>
    <font>
      <b/>
      <sz val="11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sz val="9"/>
      <color rgb="FF000000"/>
      <name val="仿宋"/>
      <charset val="134"/>
    </font>
    <font>
      <b/>
      <sz val="9"/>
      <color rgb="FF000000"/>
      <name val="仿宋"/>
      <charset val="134"/>
    </font>
    <font>
      <sz val="9"/>
      <color rgb="FF000000"/>
      <name val="宋体"/>
      <charset val="134"/>
    </font>
    <font>
      <strike/>
      <sz val="9"/>
      <color rgb="FF000000"/>
      <name val="仿宋"/>
      <charset val="134"/>
    </font>
    <font>
      <sz val="9"/>
      <name val="仿宋"/>
      <charset val="134"/>
    </font>
    <font>
      <sz val="8"/>
      <color rgb="FF000000"/>
      <name val="仿宋"/>
      <charset val="134"/>
    </font>
    <font>
      <b/>
      <sz val="11"/>
      <color rgb="FFC0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仿宋"/>
      <charset val="134"/>
    </font>
    <font>
      <sz val="9"/>
      <name val="宋体"/>
      <charset val="134"/>
    </font>
    <font>
      <b/>
      <sz val="9"/>
      <name val="仿宋"/>
      <charset val="134"/>
    </font>
    <font>
      <sz val="9"/>
      <color theme="1"/>
      <name val="仿宋"/>
      <charset val="134"/>
    </font>
    <font>
      <sz val="8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sz val="8"/>
      <color rgb="FFC00000"/>
      <name val="仿宋"/>
      <charset val="134"/>
    </font>
    <font>
      <i/>
      <sz val="6"/>
      <color rgb="FF000000"/>
      <name val="仿宋"/>
      <charset val="134"/>
    </font>
    <font>
      <sz val="9"/>
      <color rgb="FFFF0000"/>
      <name val="仿宋"/>
      <charset val="134"/>
    </font>
    <font>
      <b/>
      <sz val="9"/>
      <color rgb="FFC00000"/>
      <name val="仿宋"/>
      <charset val="134"/>
    </font>
    <font>
      <b/>
      <sz val="9"/>
      <color rgb="FFE54C5E"/>
      <name val="仿宋"/>
      <charset val="134"/>
    </font>
    <font>
      <b/>
      <sz val="9"/>
      <color theme="9"/>
      <name val="仿宋"/>
      <charset val="134"/>
    </font>
    <font>
      <sz val="8"/>
      <name val="宋体"/>
      <charset val="134"/>
    </font>
    <font>
      <b/>
      <sz val="8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FBFA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1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4" borderId="21" applyNumberFormat="0" applyAlignment="0" applyProtection="0">
      <alignment vertical="center"/>
    </xf>
    <xf numFmtId="0" fontId="27" fillId="15" borderId="22" applyNumberFormat="0" applyAlignment="0" applyProtection="0">
      <alignment vertical="center"/>
    </xf>
    <xf numFmtId="0" fontId="28" fillId="15" borderId="21" applyNumberFormat="0" applyAlignment="0" applyProtection="0">
      <alignment vertical="center"/>
    </xf>
    <xf numFmtId="0" fontId="29" fillId="16" borderId="23" applyNumberFormat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7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10" fontId="0" fillId="0" borderId="4" xfId="0" applyNumberFormat="1" applyFill="1" applyBorder="1" applyAlignment="1">
      <alignment horizontal="center" vertical="center"/>
    </xf>
    <xf numFmtId="176" fontId="0" fillId="0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0" fontId="0" fillId="3" borderId="6" xfId="0" applyNumberForma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31" fontId="0" fillId="0" borderId="3" xfId="0" applyNumberFormat="1" applyFill="1" applyBorder="1" applyAlignment="1">
      <alignment vertical="center"/>
    </xf>
    <xf numFmtId="0" fontId="0" fillId="0" borderId="3" xfId="0" applyFill="1" applyBorder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3" fillId="5" borderId="9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vertical="center"/>
    </xf>
    <xf numFmtId="0" fontId="3" fillId="5" borderId="9" xfId="0" applyFont="1" applyFill="1" applyBorder="1" applyAlignment="1">
      <alignment vertical="center"/>
    </xf>
    <xf numFmtId="9" fontId="4" fillId="0" borderId="3" xfId="3" applyNumberFormat="1" applyFont="1" applyBorder="1" applyAlignment="1">
      <alignment horizontal="center" vertical="center"/>
    </xf>
    <xf numFmtId="0" fontId="3" fillId="5" borderId="10" xfId="0" applyFont="1" applyFill="1" applyBorder="1" applyAlignment="1">
      <alignment vertical="center"/>
    </xf>
    <xf numFmtId="0" fontId="3" fillId="5" borderId="10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177" fontId="5" fillId="0" borderId="7" xfId="0" applyNumberFormat="1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0" fillId="0" borderId="0" xfId="0" applyFont="1">
      <alignment vertical="center"/>
    </xf>
    <xf numFmtId="178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49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49" fontId="6" fillId="6" borderId="7" xfId="0" applyNumberFormat="1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178" fontId="6" fillId="6" borderId="11" xfId="0" applyNumberFormat="1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178" fontId="6" fillId="6" borderId="7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left" vertical="center"/>
    </xf>
    <xf numFmtId="0" fontId="6" fillId="7" borderId="11" xfId="0" applyFont="1" applyFill="1" applyBorder="1" applyAlignment="1">
      <alignment vertical="center" wrapText="1"/>
    </xf>
    <xf numFmtId="0" fontId="6" fillId="7" borderId="12" xfId="0" applyFont="1" applyFill="1" applyBorder="1" applyAlignment="1">
      <alignment vertical="center" wrapText="1"/>
    </xf>
    <xf numFmtId="178" fontId="6" fillId="7" borderId="12" xfId="0" applyNumberFormat="1" applyFont="1" applyFill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6" fillId="7" borderId="13" xfId="0" applyFont="1" applyFill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 wrapText="1"/>
    </xf>
    <xf numFmtId="178" fontId="5" fillId="0" borderId="7" xfId="0" applyNumberFormat="1" applyFont="1" applyBorder="1" applyAlignment="1">
      <alignment horizontal="center" vertical="center" wrapText="1"/>
    </xf>
    <xf numFmtId="178" fontId="7" fillId="0" borderId="7" xfId="0" applyNumberFormat="1" applyFont="1" applyBorder="1" applyAlignment="1">
      <alignment horizontal="center" vertical="center"/>
    </xf>
    <xf numFmtId="31" fontId="5" fillId="0" borderId="7" xfId="0" applyNumberFormat="1" applyFont="1" applyBorder="1" applyAlignment="1">
      <alignment vertical="center" wrapText="1"/>
    </xf>
    <xf numFmtId="31" fontId="5" fillId="3" borderId="7" xfId="0" applyNumberFormat="1" applyFont="1" applyFill="1" applyBorder="1" applyAlignment="1">
      <alignment vertical="center" wrapText="1"/>
    </xf>
    <xf numFmtId="178" fontId="5" fillId="0" borderId="7" xfId="0" applyNumberFormat="1" applyFont="1" applyBorder="1" applyAlignment="1">
      <alignment vertical="center" wrapText="1"/>
    </xf>
    <xf numFmtId="0" fontId="7" fillId="0" borderId="7" xfId="0" applyFont="1" applyBorder="1">
      <alignment vertical="center"/>
    </xf>
    <xf numFmtId="0" fontId="6" fillId="7" borderId="11" xfId="0" applyFont="1" applyFill="1" applyBorder="1">
      <alignment vertical="center"/>
    </xf>
    <xf numFmtId="0" fontId="5" fillId="7" borderId="12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178" fontId="5" fillId="7" borderId="12" xfId="0" applyNumberFormat="1" applyFont="1" applyFill="1" applyBorder="1" applyAlignment="1">
      <alignment vertical="center" wrapText="1"/>
    </xf>
    <xf numFmtId="0" fontId="6" fillId="3" borderId="7" xfId="0" applyFont="1" applyFill="1" applyBorder="1" applyAlignment="1">
      <alignment horizontal="left" vertical="center"/>
    </xf>
    <xf numFmtId="0" fontId="6" fillId="3" borderId="11" xfId="0" applyFont="1" applyFill="1" applyBorder="1">
      <alignment vertical="center"/>
    </xf>
    <xf numFmtId="178" fontId="5" fillId="3" borderId="12" xfId="0" applyNumberFormat="1" applyFont="1" applyFill="1" applyBorder="1" applyAlignment="1">
      <alignment vertical="center" wrapText="1"/>
    </xf>
    <xf numFmtId="0" fontId="8" fillId="3" borderId="12" xfId="0" applyFont="1" applyFill="1" applyBorder="1" applyAlignment="1">
      <alignment vertical="center" wrapText="1"/>
    </xf>
    <xf numFmtId="178" fontId="6" fillId="3" borderId="12" xfId="0" applyNumberFormat="1" applyFont="1" applyFill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vertical="center" wrapText="1"/>
    </xf>
    <xf numFmtId="178" fontId="5" fillId="3" borderId="7" xfId="0" applyNumberFormat="1" applyFont="1" applyFill="1" applyBorder="1" applyAlignment="1">
      <alignment vertical="center" wrapText="1"/>
    </xf>
    <xf numFmtId="177" fontId="8" fillId="3" borderId="7" xfId="0" applyNumberFormat="1" applyFont="1" applyFill="1" applyBorder="1" applyAlignment="1">
      <alignment vertical="center" wrapText="1"/>
    </xf>
    <xf numFmtId="178" fontId="7" fillId="3" borderId="7" xfId="0" applyNumberFormat="1" applyFont="1" applyFill="1" applyBorder="1" applyAlignment="1">
      <alignment horizontal="center" vertical="center"/>
    </xf>
    <xf numFmtId="177" fontId="5" fillId="3" borderId="7" xfId="0" applyNumberFormat="1" applyFont="1" applyFill="1" applyBorder="1" applyAlignment="1">
      <alignment vertical="center" wrapText="1"/>
    </xf>
    <xf numFmtId="9" fontId="0" fillId="3" borderId="0" xfId="3" applyNumberFormat="1" applyFill="1">
      <alignment vertical="center"/>
    </xf>
    <xf numFmtId="178" fontId="7" fillId="3" borderId="14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7" xfId="0" applyFont="1" applyFill="1" applyBorder="1">
      <alignment vertical="center"/>
    </xf>
    <xf numFmtId="0" fontId="7" fillId="0" borderId="0" xfId="0" applyFont="1" applyAlignment="1">
      <alignment horizontal="center" vertical="center" wrapText="1"/>
    </xf>
    <xf numFmtId="9" fontId="5" fillId="3" borderId="7" xfId="0" applyNumberFormat="1" applyFont="1" applyFill="1" applyBorder="1" applyAlignment="1">
      <alignment horizontal="center" vertical="center" wrapText="1"/>
    </xf>
    <xf numFmtId="178" fontId="7" fillId="3" borderId="15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left" vertical="center"/>
    </xf>
    <xf numFmtId="0" fontId="6" fillId="9" borderId="11" xfId="0" applyFont="1" applyFill="1" applyBorder="1">
      <alignment vertical="center"/>
    </xf>
    <xf numFmtId="0" fontId="6" fillId="9" borderId="12" xfId="0" applyFont="1" applyFill="1" applyBorder="1" applyAlignment="1">
      <alignment vertical="center" wrapText="1"/>
    </xf>
    <xf numFmtId="178" fontId="5" fillId="9" borderId="12" xfId="0" applyNumberFormat="1" applyFont="1" applyFill="1" applyBorder="1" applyAlignment="1">
      <alignment vertical="center" wrapText="1"/>
    </xf>
    <xf numFmtId="0" fontId="8" fillId="9" borderId="12" xfId="0" applyFont="1" applyFill="1" applyBorder="1" applyAlignment="1">
      <alignment vertical="center" wrapText="1"/>
    </xf>
    <xf numFmtId="178" fontId="6" fillId="9" borderId="12" xfId="0" applyNumberFormat="1" applyFont="1" applyFill="1" applyBorder="1" applyAlignment="1">
      <alignment vertical="center" wrapText="1"/>
    </xf>
    <xf numFmtId="0" fontId="5" fillId="9" borderId="12" xfId="0" applyFont="1" applyFill="1" applyBorder="1" applyAlignment="1">
      <alignment vertical="center" wrapText="1"/>
    </xf>
    <xf numFmtId="0" fontId="6" fillId="9" borderId="13" xfId="0" applyFont="1" applyFill="1" applyBorder="1" applyAlignment="1">
      <alignment vertical="center" wrapText="1"/>
    </xf>
    <xf numFmtId="0" fontId="5" fillId="8" borderId="7" xfId="0" applyFont="1" applyFill="1" applyBorder="1" applyAlignment="1">
      <alignment horizontal="left" vertical="center"/>
    </xf>
    <xf numFmtId="177" fontId="8" fillId="0" borderId="7" xfId="0" applyNumberFormat="1" applyFont="1" applyBorder="1" applyAlignment="1">
      <alignment vertical="center" wrapText="1"/>
    </xf>
    <xf numFmtId="177" fontId="5" fillId="0" borderId="7" xfId="0" applyNumberFormat="1" applyFont="1" applyBorder="1" applyAlignment="1">
      <alignment vertical="center" wrapText="1"/>
    </xf>
    <xf numFmtId="0" fontId="6" fillId="9" borderId="7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76" fontId="5" fillId="0" borderId="7" xfId="0" applyNumberFormat="1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vertical="center" wrapText="1"/>
    </xf>
    <xf numFmtId="0" fontId="8" fillId="7" borderId="12" xfId="0" applyFont="1" applyFill="1" applyBorder="1" applyAlignment="1">
      <alignment vertical="center" wrapText="1"/>
    </xf>
    <xf numFmtId="0" fontId="6" fillId="9" borderId="12" xfId="0" applyFont="1" applyFill="1" applyBorder="1">
      <alignment vertical="center"/>
    </xf>
    <xf numFmtId="0" fontId="6" fillId="7" borderId="12" xfId="0" applyFont="1" applyFill="1" applyBorder="1">
      <alignment vertical="center"/>
    </xf>
    <xf numFmtId="178" fontId="6" fillId="7" borderId="12" xfId="0" applyNumberFormat="1" applyFont="1" applyFill="1" applyBorder="1">
      <alignment vertical="center"/>
    </xf>
    <xf numFmtId="0" fontId="6" fillId="3" borderId="12" xfId="0" applyFont="1" applyFill="1" applyBorder="1">
      <alignment vertical="center"/>
    </xf>
    <xf numFmtId="0" fontId="6" fillId="7" borderId="13" xfId="0" applyFont="1" applyFill="1" applyBorder="1">
      <alignment vertical="center"/>
    </xf>
    <xf numFmtId="49" fontId="7" fillId="0" borderId="0" xfId="0" applyNumberFormat="1" applyFont="1" applyAlignment="1">
      <alignment horizontal="left" vertical="center"/>
    </xf>
    <xf numFmtId="178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center" vertical="center"/>
    </xf>
    <xf numFmtId="0" fontId="7" fillId="3" borderId="0" xfId="0" applyFont="1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49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49" fontId="15" fillId="11" borderId="16" xfId="0" applyNumberFormat="1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horizontal="center" vertical="center" wrapText="1"/>
    </xf>
    <xf numFmtId="0" fontId="15" fillId="11" borderId="9" xfId="0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15" fillId="11" borderId="16" xfId="0" applyFont="1" applyFill="1" applyBorder="1" applyAlignment="1">
      <alignment horizontal="center" vertical="center" wrapText="1"/>
    </xf>
    <xf numFmtId="49" fontId="15" fillId="11" borderId="17" xfId="0" applyNumberFormat="1" applyFont="1" applyFill="1" applyBorder="1" applyAlignment="1">
      <alignment horizontal="center" vertical="center" wrapText="1"/>
    </xf>
    <xf numFmtId="0" fontId="15" fillId="11" borderId="17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left" vertical="center"/>
    </xf>
    <xf numFmtId="0" fontId="13" fillId="12" borderId="8" xfId="0" applyFont="1" applyFill="1" applyBorder="1" applyAlignment="1">
      <alignment vertical="center" wrapText="1"/>
    </xf>
    <xf numFmtId="0" fontId="13" fillId="12" borderId="9" xfId="0" applyFont="1" applyFill="1" applyBorder="1" applyAlignment="1">
      <alignment vertical="center" wrapText="1"/>
    </xf>
    <xf numFmtId="0" fontId="13" fillId="12" borderId="10" xfId="0" applyFont="1" applyFill="1" applyBorder="1" applyAlignment="1">
      <alignment vertical="center" wrapText="1"/>
    </xf>
    <xf numFmtId="0" fontId="5" fillId="0" borderId="3" xfId="49" applyFont="1" applyBorder="1" applyAlignment="1">
      <alignment horizontal="left" vertical="center" wrapText="1"/>
    </xf>
    <xf numFmtId="0" fontId="5" fillId="0" borderId="3" xfId="49" applyFont="1" applyBorder="1" applyAlignment="1">
      <alignment vertical="center" wrapText="1"/>
    </xf>
    <xf numFmtId="0" fontId="12" fillId="0" borderId="3" xfId="49" applyFont="1" applyBorder="1" applyAlignment="1">
      <alignment horizontal="center" vertical="center"/>
    </xf>
    <xf numFmtId="9" fontId="5" fillId="0" borderId="3" xfId="49" applyNumberFormat="1" applyFont="1" applyBorder="1" applyAlignment="1">
      <alignment horizontal="center" vertical="center" wrapText="1"/>
    </xf>
    <xf numFmtId="31" fontId="5" fillId="0" borderId="3" xfId="49" applyNumberFormat="1" applyFont="1" applyBorder="1" applyAlignment="1">
      <alignment vertical="center" wrapText="1"/>
    </xf>
    <xf numFmtId="0" fontId="12" fillId="0" borderId="4" xfId="49" applyFont="1" applyBorder="1">
      <alignment vertical="center"/>
    </xf>
    <xf numFmtId="0" fontId="13" fillId="12" borderId="8" xfId="0" applyFont="1" applyFill="1" applyBorder="1" applyAlignment="1">
      <alignment vertical="center"/>
    </xf>
    <xf numFmtId="0" fontId="16" fillId="12" borderId="9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vertical="center"/>
    </xf>
    <xf numFmtId="0" fontId="13" fillId="9" borderId="9" xfId="0" applyFont="1" applyFill="1" applyBorder="1" applyAlignment="1">
      <alignment vertical="center" wrapText="1"/>
    </xf>
    <xf numFmtId="0" fontId="16" fillId="9" borderId="9" xfId="0" applyFont="1" applyFill="1" applyBorder="1" applyAlignment="1">
      <alignment vertical="center" wrapText="1"/>
    </xf>
    <xf numFmtId="0" fontId="13" fillId="9" borderId="10" xfId="0" applyFont="1" applyFill="1" applyBorder="1" applyAlignment="1">
      <alignment vertical="center" wrapText="1"/>
    </xf>
    <xf numFmtId="0" fontId="16" fillId="0" borderId="3" xfId="49" applyFont="1" applyBorder="1" applyAlignment="1">
      <alignment horizontal="left" vertical="center"/>
    </xf>
    <xf numFmtId="0" fontId="13" fillId="9" borderId="3" xfId="0" applyFont="1" applyFill="1" applyBorder="1" applyAlignment="1">
      <alignment horizontal="left" vertical="center"/>
    </xf>
    <xf numFmtId="0" fontId="13" fillId="9" borderId="8" xfId="0" applyFont="1" applyFill="1" applyBorder="1" applyAlignment="1">
      <alignment vertical="center"/>
    </xf>
    <xf numFmtId="0" fontId="5" fillId="0" borderId="3" xfId="49" applyFont="1" applyBorder="1" applyAlignment="1">
      <alignment horizontal="center" vertical="center" wrapText="1"/>
    </xf>
    <xf numFmtId="0" fontId="12" fillId="0" borderId="3" xfId="49" applyFont="1" applyBorder="1">
      <alignment vertical="center"/>
    </xf>
    <xf numFmtId="0" fontId="17" fillId="9" borderId="9" xfId="0" applyFont="1" applyFill="1" applyBorder="1" applyAlignment="1">
      <alignment vertical="center" wrapText="1"/>
    </xf>
    <xf numFmtId="0" fontId="13" fillId="9" borderId="9" xfId="0" applyFont="1" applyFill="1" applyBorder="1" applyAlignment="1">
      <alignment vertical="center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 wrapText="1"/>
    </xf>
    <xf numFmtId="0" fontId="13" fillId="12" borderId="8" xfId="0" applyFont="1" applyFill="1" applyBorder="1">
      <alignment vertical="center"/>
    </xf>
    <xf numFmtId="0" fontId="13" fillId="12" borderId="9" xfId="0" applyFont="1" applyFill="1" applyBorder="1">
      <alignment vertical="center"/>
    </xf>
    <xf numFmtId="178" fontId="13" fillId="12" borderId="9" xfId="0" applyNumberFormat="1" applyFont="1" applyFill="1" applyBorder="1">
      <alignment vertical="center"/>
    </xf>
    <xf numFmtId="0" fontId="13" fillId="12" borderId="10" xfId="0" applyFont="1" applyFill="1" applyBorder="1">
      <alignment vertical="center"/>
    </xf>
    <xf numFmtId="176" fontId="12" fillId="0" borderId="0" xfId="0" applyNumberFormat="1" applyFont="1" applyAlignment="1">
      <alignment horizontal="center" vertical="center"/>
    </xf>
    <xf numFmtId="0" fontId="13" fillId="3" borderId="3" xfId="0" applyFont="1" applyFill="1" applyBorder="1" applyAlignment="1" quotePrefix="1">
      <alignment horizontal="left" vertical="center"/>
    </xf>
    <xf numFmtId="0" fontId="16" fillId="0" borderId="3" xfId="49" applyFont="1" applyBorder="1" applyAlignment="1" quotePrefix="1">
      <alignment horizontal="left" vertical="center"/>
    </xf>
    <xf numFmtId="0" fontId="13" fillId="9" borderId="3" xfId="0" applyFont="1" applyFill="1" applyBorder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EEFBFA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IV55"/>
  <sheetViews>
    <sheetView zoomScale="130" zoomScaleNormal="130" workbookViewId="0">
      <pane ySplit="3" topLeftCell="A4" activePane="bottomLeft" state="frozen"/>
      <selection/>
      <selection pane="bottomLeft" activeCell="I9" sqref="I9"/>
    </sheetView>
  </sheetViews>
  <sheetFormatPr defaultColWidth="8.87272727272727" defaultRowHeight="11.5"/>
  <cols>
    <col min="1" max="1" width="6.58181818181818" style="132" customWidth="1"/>
    <col min="2" max="2" width="12.3909090909091" style="133" customWidth="1"/>
    <col min="3" max="3" width="61.7090909090909" style="133" customWidth="1"/>
    <col min="4" max="4" width="9.12727272727273" style="133" hidden="1" customWidth="1"/>
    <col min="5" max="5" width="27.5" style="133" hidden="1" customWidth="1"/>
    <col min="6" max="6" width="7.37272727272727" style="134" customWidth="1"/>
    <col min="7" max="8" width="10.8" style="133" customWidth="1"/>
    <col min="9" max="9" width="7.37272727272727" style="133" customWidth="1"/>
    <col min="10" max="11" width="10.8" style="133" customWidth="1"/>
    <col min="12" max="12" width="5.66363636363636" style="133" customWidth="1"/>
    <col min="13" max="13" width="6.70909090909091" style="133" customWidth="1"/>
    <col min="14" max="32" width="9" style="133" customWidth="1"/>
    <col min="33" max="224" width="8.87272727272727" style="133" customWidth="1"/>
    <col min="225" max="255" width="9" style="133" customWidth="1"/>
    <col min="256" max="256" width="9" style="133"/>
    <col min="257" max="16384" width="8.87272727272727" style="133"/>
  </cols>
  <sheetData>
    <row r="1" spans="1:256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IV1" s="137"/>
    </row>
    <row r="2" ht="23" spans="1:256">
      <c r="A2" s="138" t="s">
        <v>1</v>
      </c>
      <c r="B2" s="138" t="s">
        <v>2</v>
      </c>
      <c r="C2" s="138" t="s">
        <v>3</v>
      </c>
      <c r="D2" s="139" t="s">
        <v>4</v>
      </c>
      <c r="E2" s="139" t="s">
        <v>5</v>
      </c>
      <c r="F2" s="140" t="s">
        <v>6</v>
      </c>
      <c r="G2" s="141"/>
      <c r="H2" s="142"/>
      <c r="I2" s="140" t="s">
        <v>7</v>
      </c>
      <c r="J2" s="141"/>
      <c r="K2" s="142"/>
      <c r="L2" s="143" t="s">
        <v>8</v>
      </c>
      <c r="M2" s="143" t="s">
        <v>9</v>
      </c>
      <c r="IV2" s="137"/>
    </row>
    <row r="3" ht="23" spans="1:256">
      <c r="A3" s="144"/>
      <c r="B3" s="144"/>
      <c r="C3" s="144"/>
      <c r="D3" s="139"/>
      <c r="E3" s="139"/>
      <c r="F3" s="139" t="s">
        <v>10</v>
      </c>
      <c r="G3" s="139" t="s">
        <v>11</v>
      </c>
      <c r="H3" s="139" t="s">
        <v>12</v>
      </c>
      <c r="I3" s="139" t="s">
        <v>10</v>
      </c>
      <c r="J3" s="139" t="s">
        <v>11</v>
      </c>
      <c r="K3" s="139" t="s">
        <v>13</v>
      </c>
      <c r="L3" s="145"/>
      <c r="M3" s="145"/>
      <c r="IV3" s="137"/>
    </row>
    <row r="4" spans="1:256">
      <c r="A4" s="146">
        <v>1</v>
      </c>
      <c r="B4" s="147" t="s">
        <v>14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9"/>
      <c r="IV4" s="137"/>
    </row>
    <row r="5" ht="23" spans="1:256">
      <c r="A5" s="150">
        <v>1.1</v>
      </c>
      <c r="B5" s="151" t="s">
        <v>15</v>
      </c>
      <c r="C5" s="151" t="s">
        <v>16</v>
      </c>
      <c r="D5" s="152"/>
      <c r="E5" s="153"/>
      <c r="F5" s="152"/>
      <c r="G5" s="154"/>
      <c r="H5" s="154"/>
      <c r="I5" s="154"/>
      <c r="J5" s="154"/>
      <c r="K5" s="154"/>
      <c r="L5" s="152" t="s">
        <v>17</v>
      </c>
      <c r="M5" s="155" t="s">
        <v>18</v>
      </c>
      <c r="IV5" s="137"/>
    </row>
    <row r="6" spans="1:256">
      <c r="A6" s="150">
        <v>1.2</v>
      </c>
      <c r="B6" s="151" t="s">
        <v>19</v>
      </c>
      <c r="C6" s="151"/>
      <c r="D6" s="152"/>
      <c r="E6" s="153"/>
      <c r="F6" s="152"/>
      <c r="G6" s="154"/>
      <c r="H6" s="154"/>
      <c r="I6" s="154"/>
      <c r="J6" s="154"/>
      <c r="K6" s="154"/>
      <c r="L6" s="152" t="s">
        <v>20</v>
      </c>
      <c r="M6" s="155" t="s">
        <v>21</v>
      </c>
      <c r="IV6" s="137"/>
    </row>
    <row r="7" spans="1:256">
      <c r="A7" s="146">
        <v>2</v>
      </c>
      <c r="B7" s="156" t="s">
        <v>22</v>
      </c>
      <c r="C7" s="148"/>
      <c r="D7" s="148"/>
      <c r="E7" s="148"/>
      <c r="F7" s="148"/>
      <c r="G7" s="157"/>
      <c r="H7" s="157"/>
      <c r="I7" s="157"/>
      <c r="J7" s="157"/>
      <c r="K7" s="157"/>
      <c r="L7" s="148"/>
      <c r="M7" s="149"/>
      <c r="IV7" s="137"/>
    </row>
    <row r="8" spans="1:256">
      <c r="A8" s="177" t="s">
        <v>23</v>
      </c>
      <c r="B8" s="159" t="s">
        <v>24</v>
      </c>
      <c r="C8" s="160"/>
      <c r="D8" s="160"/>
      <c r="E8" s="160"/>
      <c r="F8" s="160"/>
      <c r="G8" s="161"/>
      <c r="H8" s="161"/>
      <c r="I8" s="161"/>
      <c r="J8" s="161"/>
      <c r="K8" s="161"/>
      <c r="L8" s="160"/>
      <c r="M8" s="162"/>
      <c r="IV8" s="137"/>
    </row>
    <row r="9" ht="92" spans="1:256">
      <c r="A9" s="178" t="s">
        <v>25</v>
      </c>
      <c r="B9" s="151" t="s">
        <v>26</v>
      </c>
      <c r="C9" s="151" t="s">
        <v>27</v>
      </c>
      <c r="D9" s="152"/>
      <c r="E9" s="153"/>
      <c r="F9" s="152"/>
      <c r="G9" s="154"/>
      <c r="H9" s="154"/>
      <c r="I9" s="154"/>
      <c r="J9" s="154"/>
      <c r="K9" s="154"/>
      <c r="L9" s="152"/>
      <c r="M9" s="155"/>
      <c r="IV9" s="137"/>
    </row>
    <row r="10" ht="30.5" spans="1:256">
      <c r="A10" s="178" t="s">
        <v>28</v>
      </c>
      <c r="B10" s="151" t="s">
        <v>29</v>
      </c>
      <c r="C10" s="151" t="s">
        <v>30</v>
      </c>
      <c r="D10" s="152"/>
      <c r="E10" s="153"/>
      <c r="F10" s="152"/>
      <c r="G10" s="154"/>
      <c r="H10" s="154"/>
      <c r="I10" s="154"/>
      <c r="J10" s="154"/>
      <c r="K10" s="154"/>
      <c r="L10" s="152"/>
      <c r="M10" s="155"/>
      <c r="IV10" s="137"/>
    </row>
    <row r="11" spans="1:256">
      <c r="A11" s="179" t="s">
        <v>31</v>
      </c>
      <c r="B11" s="165" t="s">
        <v>32</v>
      </c>
      <c r="C11" s="160"/>
      <c r="D11" s="160"/>
      <c r="E11" s="160"/>
      <c r="F11" s="160"/>
      <c r="G11" s="161"/>
      <c r="H11" s="161"/>
      <c r="I11" s="161"/>
      <c r="J11" s="161"/>
      <c r="K11" s="161"/>
      <c r="L11" s="160"/>
      <c r="M11" s="162"/>
      <c r="IV11" s="137"/>
    </row>
    <row r="12" ht="30.5" spans="1:256">
      <c r="A12" s="178" t="s">
        <v>33</v>
      </c>
      <c r="B12" s="151" t="s">
        <v>34</v>
      </c>
      <c r="C12" s="151" t="s">
        <v>35</v>
      </c>
      <c r="D12" s="152"/>
      <c r="E12" s="153"/>
      <c r="F12" s="152"/>
      <c r="G12" s="154"/>
      <c r="H12" s="154"/>
      <c r="I12" s="154"/>
      <c r="J12" s="154"/>
      <c r="K12" s="154"/>
      <c r="L12" s="152"/>
      <c r="M12" s="155"/>
      <c r="IV12" s="137"/>
    </row>
    <row r="13" spans="1:256">
      <c r="A13" s="177" t="s">
        <v>23</v>
      </c>
      <c r="B13" s="159" t="s">
        <v>24</v>
      </c>
      <c r="C13" s="160"/>
      <c r="D13" s="160"/>
      <c r="E13" s="160"/>
      <c r="F13" s="160"/>
      <c r="G13" s="161"/>
      <c r="H13" s="161"/>
      <c r="I13" s="161"/>
      <c r="J13" s="161"/>
      <c r="K13" s="161"/>
      <c r="L13" s="160"/>
      <c r="M13" s="162"/>
      <c r="IV13" s="137"/>
    </row>
    <row r="14" ht="34.5" spans="1:256">
      <c r="A14" s="178" t="s">
        <v>36</v>
      </c>
      <c r="B14" s="151" t="s">
        <v>37</v>
      </c>
      <c r="C14" s="151" t="s">
        <v>38</v>
      </c>
      <c r="D14" s="152"/>
      <c r="E14" s="153"/>
      <c r="F14" s="152"/>
      <c r="G14" s="154"/>
      <c r="H14" s="154"/>
      <c r="I14" s="154"/>
      <c r="J14" s="154"/>
      <c r="K14" s="154"/>
      <c r="L14" s="152"/>
      <c r="M14" s="155"/>
      <c r="IV14" s="137"/>
    </row>
    <row r="15" spans="1:256">
      <c r="A15" s="164">
        <v>2.3</v>
      </c>
      <c r="B15" s="165" t="s">
        <v>39</v>
      </c>
      <c r="C15" s="160"/>
      <c r="D15" s="160"/>
      <c r="E15" s="160"/>
      <c r="F15" s="160"/>
      <c r="G15" s="161"/>
      <c r="H15" s="161"/>
      <c r="I15" s="161"/>
      <c r="J15" s="161"/>
      <c r="K15" s="161"/>
      <c r="L15" s="160"/>
      <c r="M15" s="162"/>
      <c r="IV15" s="137"/>
    </row>
    <row r="16" ht="34.5" spans="1:256">
      <c r="A16" s="178" t="s">
        <v>40</v>
      </c>
      <c r="B16" s="151" t="s">
        <v>41</v>
      </c>
      <c r="C16" s="151" t="s">
        <v>42</v>
      </c>
      <c r="D16" s="152"/>
      <c r="E16" s="153"/>
      <c r="F16" s="152"/>
      <c r="G16" s="154"/>
      <c r="H16" s="154"/>
      <c r="I16" s="154"/>
      <c r="J16" s="154"/>
      <c r="K16" s="154"/>
      <c r="L16" s="152"/>
      <c r="M16" s="155"/>
      <c r="IV16" s="137"/>
    </row>
    <row r="17" ht="23" spans="1:256">
      <c r="A17" s="178" t="s">
        <v>43</v>
      </c>
      <c r="B17" s="151" t="s">
        <v>44</v>
      </c>
      <c r="C17" s="151" t="s">
        <v>45</v>
      </c>
      <c r="D17" s="152"/>
      <c r="E17" s="153"/>
      <c r="F17" s="152"/>
      <c r="G17" s="154"/>
      <c r="H17" s="154"/>
      <c r="I17" s="154"/>
      <c r="J17" s="154"/>
      <c r="K17" s="154"/>
      <c r="L17" s="152"/>
      <c r="M17" s="155"/>
      <c r="IV17" s="137"/>
    </row>
    <row r="18" ht="92" spans="1:256">
      <c r="A18" s="178" t="s">
        <v>46</v>
      </c>
      <c r="B18" s="151" t="s">
        <v>47</v>
      </c>
      <c r="C18" s="151" t="s">
        <v>48</v>
      </c>
      <c r="D18" s="152"/>
      <c r="E18" s="153"/>
      <c r="F18" s="152"/>
      <c r="G18" s="154"/>
      <c r="H18" s="154"/>
      <c r="I18" s="154"/>
      <c r="J18" s="154"/>
      <c r="K18" s="154"/>
      <c r="L18" s="152"/>
      <c r="M18" s="155"/>
      <c r="IV18" s="137"/>
    </row>
    <row r="19" ht="115" spans="1:256">
      <c r="A19" s="178" t="s">
        <v>49</v>
      </c>
      <c r="B19" s="151" t="s">
        <v>50</v>
      </c>
      <c r="C19" s="151" t="s">
        <v>51</v>
      </c>
      <c r="D19" s="152"/>
      <c r="E19" s="153"/>
      <c r="F19" s="152"/>
      <c r="G19" s="154"/>
      <c r="H19" s="154"/>
      <c r="I19" s="154"/>
      <c r="J19" s="154"/>
      <c r="K19" s="154"/>
      <c r="L19" s="152"/>
      <c r="M19" s="155"/>
      <c r="IV19" s="137"/>
    </row>
    <row r="20" spans="1:256">
      <c r="A20" s="164">
        <v>2.4</v>
      </c>
      <c r="B20" s="165" t="s">
        <v>52</v>
      </c>
      <c r="C20" s="160"/>
      <c r="D20" s="160"/>
      <c r="E20" s="160"/>
      <c r="F20" s="160"/>
      <c r="G20" s="161"/>
      <c r="H20" s="161"/>
      <c r="I20" s="161"/>
      <c r="J20" s="161"/>
      <c r="K20" s="161"/>
      <c r="L20" s="160"/>
      <c r="M20" s="162"/>
      <c r="IV20" s="137"/>
    </row>
    <row r="21" ht="34.5" spans="1:256">
      <c r="A21" s="178" t="s">
        <v>53</v>
      </c>
      <c r="B21" s="151" t="s">
        <v>54</v>
      </c>
      <c r="C21" s="151" t="s">
        <v>55</v>
      </c>
      <c r="D21" s="152"/>
      <c r="E21" s="153"/>
      <c r="F21" s="152"/>
      <c r="G21" s="154"/>
      <c r="H21" s="154"/>
      <c r="I21" s="154"/>
      <c r="J21" s="154"/>
      <c r="K21" s="154"/>
      <c r="L21" s="152"/>
      <c r="M21" s="155"/>
      <c r="IV21" s="137"/>
    </row>
    <row r="22" ht="57.5" spans="1:256">
      <c r="A22" s="178" t="s">
        <v>56</v>
      </c>
      <c r="B22" s="150" t="s">
        <v>57</v>
      </c>
      <c r="C22" s="150" t="s">
        <v>58</v>
      </c>
      <c r="D22" s="152"/>
      <c r="E22" s="153"/>
      <c r="F22" s="166"/>
      <c r="G22" s="154"/>
      <c r="H22" s="154"/>
      <c r="I22" s="154"/>
      <c r="J22" s="154"/>
      <c r="K22" s="154"/>
      <c r="L22" s="166"/>
      <c r="M22" s="167"/>
    </row>
    <row r="23" ht="23" spans="1:256">
      <c r="A23" s="178" t="s">
        <v>59</v>
      </c>
      <c r="B23" s="150" t="s">
        <v>60</v>
      </c>
      <c r="C23" s="150" t="s">
        <v>61</v>
      </c>
      <c r="D23" s="152"/>
      <c r="E23" s="153"/>
      <c r="F23" s="166"/>
      <c r="G23" s="154"/>
      <c r="H23" s="154"/>
      <c r="I23" s="154"/>
      <c r="J23" s="154"/>
      <c r="K23" s="154"/>
      <c r="L23" s="166"/>
      <c r="M23" s="167"/>
      <c r="IV23" s="137"/>
    </row>
    <row r="24" spans="1:256">
      <c r="A24" s="164">
        <v>2.5</v>
      </c>
      <c r="B24" s="165" t="s">
        <v>62</v>
      </c>
      <c r="C24" s="160"/>
      <c r="D24" s="160"/>
      <c r="E24" s="160"/>
      <c r="F24" s="160"/>
      <c r="G24" s="161"/>
      <c r="H24" s="161"/>
      <c r="I24" s="161"/>
      <c r="J24" s="161"/>
      <c r="K24" s="161"/>
      <c r="L24" s="160"/>
      <c r="M24" s="162"/>
      <c r="IV24" s="137"/>
    </row>
    <row r="25" ht="34.5" spans="1:256">
      <c r="A25" s="178" t="s">
        <v>63</v>
      </c>
      <c r="B25" s="150" t="s">
        <v>64</v>
      </c>
      <c r="C25" s="150" t="s">
        <v>65</v>
      </c>
      <c r="D25" s="152"/>
      <c r="E25" s="153"/>
      <c r="F25" s="166"/>
      <c r="G25" s="154"/>
      <c r="H25" s="154"/>
      <c r="I25" s="154"/>
      <c r="J25" s="154"/>
      <c r="K25" s="154"/>
      <c r="L25" s="166"/>
      <c r="M25" s="167"/>
    </row>
    <row r="26" ht="46" spans="1:256">
      <c r="A26" s="178" t="s">
        <v>66</v>
      </c>
      <c r="B26" s="150" t="s">
        <v>67</v>
      </c>
      <c r="C26" s="150" t="s">
        <v>68</v>
      </c>
      <c r="D26" s="152"/>
      <c r="E26" s="153"/>
      <c r="F26" s="166"/>
      <c r="G26" s="154"/>
      <c r="H26" s="154"/>
      <c r="I26" s="154"/>
      <c r="J26" s="154"/>
      <c r="K26" s="154"/>
      <c r="L26" s="166"/>
      <c r="M26" s="167"/>
    </row>
    <row r="27" ht="23" spans="1:256">
      <c r="A27" s="178" t="s">
        <v>69</v>
      </c>
      <c r="B27" s="150" t="s">
        <v>70</v>
      </c>
      <c r="C27" s="150" t="s">
        <v>71</v>
      </c>
      <c r="D27" s="152"/>
      <c r="E27" s="153"/>
      <c r="F27" s="166"/>
      <c r="G27" s="154"/>
      <c r="H27" s="154"/>
      <c r="I27" s="154"/>
      <c r="J27" s="154"/>
      <c r="K27" s="154"/>
      <c r="L27" s="166"/>
      <c r="M27" s="167"/>
    </row>
    <row r="28" ht="31.5" spans="1:256">
      <c r="A28" s="164">
        <v>2.6</v>
      </c>
      <c r="B28" s="165" t="s">
        <v>72</v>
      </c>
      <c r="C28" s="168" t="s">
        <v>73</v>
      </c>
      <c r="D28" s="160"/>
      <c r="E28" s="160"/>
      <c r="F28" s="160"/>
      <c r="G28" s="161"/>
      <c r="H28" s="161"/>
      <c r="I28" s="161"/>
      <c r="J28" s="161"/>
      <c r="K28" s="161"/>
      <c r="L28" s="160"/>
      <c r="M28" s="162"/>
      <c r="IV28" s="137"/>
    </row>
    <row r="29" spans="1:256">
      <c r="A29" s="178" t="s">
        <v>74</v>
      </c>
      <c r="B29" s="150" t="s">
        <v>75</v>
      </c>
      <c r="C29" s="150" t="s">
        <v>76</v>
      </c>
      <c r="D29" s="152"/>
      <c r="E29" s="153"/>
      <c r="F29" s="166"/>
      <c r="G29" s="154"/>
      <c r="H29" s="154"/>
      <c r="I29" s="154"/>
      <c r="J29" s="154"/>
      <c r="K29" s="154"/>
      <c r="L29" s="166"/>
      <c r="M29" s="167"/>
      <c r="IV29" s="137"/>
    </row>
    <row r="30" spans="1:256">
      <c r="A30" s="178" t="s">
        <v>77</v>
      </c>
      <c r="B30" s="150" t="s">
        <v>78</v>
      </c>
      <c r="C30" s="150" t="s">
        <v>79</v>
      </c>
      <c r="D30" s="152"/>
      <c r="E30" s="153"/>
      <c r="F30" s="166"/>
      <c r="G30" s="154"/>
      <c r="H30" s="154"/>
      <c r="I30" s="154"/>
      <c r="J30" s="154"/>
      <c r="K30" s="154"/>
      <c r="L30" s="166"/>
      <c r="M30" s="167"/>
    </row>
    <row r="31" ht="23" spans="1:256">
      <c r="A31" s="178" t="s">
        <v>80</v>
      </c>
      <c r="B31" s="150" t="s">
        <v>81</v>
      </c>
      <c r="C31" s="150" t="s">
        <v>82</v>
      </c>
      <c r="D31" s="152"/>
      <c r="E31" s="153"/>
      <c r="F31" s="166"/>
      <c r="G31" s="154"/>
      <c r="H31" s="154"/>
      <c r="I31" s="154"/>
      <c r="J31" s="154"/>
      <c r="K31" s="154"/>
      <c r="L31" s="166"/>
      <c r="M31" s="167"/>
    </row>
    <row r="32" spans="1:256">
      <c r="A32" s="178" t="s">
        <v>83</v>
      </c>
      <c r="B32" s="150" t="s">
        <v>84</v>
      </c>
      <c r="C32" s="150" t="s">
        <v>85</v>
      </c>
      <c r="D32" s="152"/>
      <c r="E32" s="153"/>
      <c r="F32" s="166"/>
      <c r="G32" s="154"/>
      <c r="H32" s="154"/>
      <c r="I32" s="154"/>
      <c r="J32" s="154"/>
      <c r="K32" s="154"/>
      <c r="L32" s="166"/>
      <c r="M32" s="167"/>
      <c r="IV32" s="137"/>
    </row>
    <row r="33" spans="1:256">
      <c r="A33" s="178" t="s">
        <v>86</v>
      </c>
      <c r="B33" s="150" t="s">
        <v>87</v>
      </c>
      <c r="C33" s="150" t="s">
        <v>88</v>
      </c>
      <c r="D33" s="152"/>
      <c r="E33" s="153"/>
      <c r="F33" s="166"/>
      <c r="G33" s="154"/>
      <c r="H33" s="154"/>
      <c r="I33" s="154"/>
      <c r="J33" s="154"/>
      <c r="K33" s="154"/>
      <c r="L33" s="166"/>
      <c r="M33" s="167"/>
    </row>
    <row r="34" spans="1:256">
      <c r="A34" s="146">
        <v>3</v>
      </c>
      <c r="B34" s="156" t="s">
        <v>89</v>
      </c>
      <c r="C34" s="148"/>
      <c r="D34" s="148"/>
      <c r="E34" s="148"/>
      <c r="F34" s="148"/>
      <c r="G34" s="157"/>
      <c r="H34" s="157"/>
      <c r="I34" s="157"/>
      <c r="J34" s="157"/>
      <c r="K34" s="157"/>
      <c r="L34" s="148"/>
      <c r="M34" s="149"/>
      <c r="IV34" s="137"/>
    </row>
    <row r="35" spans="1:256">
      <c r="A35" s="164">
        <v>3.1</v>
      </c>
      <c r="B35" s="160" t="s">
        <v>90</v>
      </c>
      <c r="C35" s="160"/>
      <c r="D35" s="160"/>
      <c r="E35" s="160"/>
      <c r="F35" s="160"/>
      <c r="G35" s="161"/>
      <c r="H35" s="161"/>
      <c r="I35" s="161"/>
      <c r="J35" s="161"/>
      <c r="K35" s="161"/>
      <c r="L35" s="160"/>
      <c r="M35" s="162"/>
      <c r="IV35" s="137"/>
    </row>
    <row r="36" spans="1:256">
      <c r="A36" s="163" t="s">
        <v>91</v>
      </c>
      <c r="B36" s="150" t="s">
        <v>92</v>
      </c>
      <c r="C36" s="150" t="s">
        <v>93</v>
      </c>
      <c r="D36" s="152"/>
      <c r="E36" s="153"/>
      <c r="F36" s="166"/>
      <c r="G36" s="154"/>
      <c r="H36" s="154"/>
      <c r="I36" s="154"/>
      <c r="J36" s="154"/>
      <c r="K36" s="154"/>
      <c r="L36" s="166"/>
      <c r="M36" s="167"/>
    </row>
    <row r="37" ht="34.5" spans="1:256">
      <c r="A37" s="163" t="s">
        <v>94</v>
      </c>
      <c r="B37" s="150" t="s">
        <v>95</v>
      </c>
      <c r="C37" s="150" t="s">
        <v>96</v>
      </c>
      <c r="D37" s="152"/>
      <c r="E37" s="153"/>
      <c r="F37" s="166"/>
      <c r="G37" s="154"/>
      <c r="H37" s="154"/>
      <c r="I37" s="154"/>
      <c r="J37" s="154"/>
      <c r="K37" s="154"/>
      <c r="L37" s="166"/>
      <c r="M37" s="167"/>
    </row>
    <row r="38" spans="1:256">
      <c r="A38" s="163" t="s">
        <v>97</v>
      </c>
      <c r="B38" s="150" t="s">
        <v>98</v>
      </c>
      <c r="C38" s="150" t="s">
        <v>99</v>
      </c>
      <c r="D38" s="152"/>
      <c r="E38" s="153"/>
      <c r="F38" s="166"/>
      <c r="G38" s="154"/>
      <c r="H38" s="154"/>
      <c r="I38" s="154"/>
      <c r="J38" s="154"/>
      <c r="K38" s="154"/>
      <c r="L38" s="166"/>
      <c r="M38" s="167"/>
      <c r="IV38" s="137"/>
    </row>
    <row r="39" spans="1:256">
      <c r="A39" s="164">
        <v>3.2</v>
      </c>
      <c r="B39" s="160" t="s">
        <v>100</v>
      </c>
      <c r="C39" s="160"/>
      <c r="D39" s="160"/>
      <c r="E39" s="160"/>
      <c r="F39" s="160"/>
      <c r="G39" s="161"/>
      <c r="H39" s="161"/>
      <c r="I39" s="161"/>
      <c r="J39" s="161"/>
      <c r="K39" s="161"/>
      <c r="L39" s="160"/>
      <c r="M39" s="162"/>
      <c r="IV39" s="137"/>
    </row>
    <row r="40" ht="80.5" spans="1:256">
      <c r="A40" s="163" t="s">
        <v>101</v>
      </c>
      <c r="B40" s="150" t="s">
        <v>100</v>
      </c>
      <c r="C40" s="150" t="s">
        <v>102</v>
      </c>
      <c r="D40" s="152"/>
      <c r="E40" s="153"/>
      <c r="F40" s="166"/>
      <c r="G40" s="154"/>
      <c r="H40" s="154"/>
      <c r="I40" s="154"/>
      <c r="J40" s="154"/>
      <c r="K40" s="154"/>
      <c r="L40" s="166"/>
      <c r="M40" s="167"/>
    </row>
    <row r="41" ht="57.5" spans="1:256">
      <c r="A41" s="163" t="s">
        <v>103</v>
      </c>
      <c r="B41" s="150" t="s">
        <v>104</v>
      </c>
      <c r="C41" s="150" t="s">
        <v>105</v>
      </c>
      <c r="D41" s="152"/>
      <c r="E41" s="153"/>
      <c r="F41" s="166"/>
      <c r="G41" s="154"/>
      <c r="H41" s="154"/>
      <c r="I41" s="154"/>
      <c r="J41" s="154"/>
      <c r="K41" s="154"/>
      <c r="L41" s="166"/>
      <c r="M41" s="167"/>
    </row>
    <row r="42" spans="1:256">
      <c r="A42" s="164">
        <v>3.3</v>
      </c>
      <c r="B42" s="169" t="s">
        <v>106</v>
      </c>
      <c r="C42" s="169"/>
      <c r="D42" s="160"/>
      <c r="E42" s="160"/>
      <c r="F42" s="160"/>
      <c r="G42" s="161"/>
      <c r="H42" s="161"/>
      <c r="I42" s="161"/>
      <c r="J42" s="161"/>
      <c r="K42" s="161"/>
      <c r="L42" s="160"/>
      <c r="M42" s="162"/>
      <c r="IV42" s="137"/>
    </row>
    <row r="43" spans="1:256">
      <c r="A43" s="163" t="s">
        <v>107</v>
      </c>
      <c r="B43" s="150" t="s">
        <v>108</v>
      </c>
      <c r="C43" s="150" t="s">
        <v>109</v>
      </c>
      <c r="D43" s="152"/>
      <c r="E43" s="153"/>
      <c r="F43" s="166"/>
      <c r="G43" s="154"/>
      <c r="H43" s="154"/>
      <c r="I43" s="154"/>
      <c r="J43" s="154"/>
      <c r="K43" s="154"/>
      <c r="L43" s="166"/>
      <c r="M43" s="167"/>
    </row>
    <row r="44" ht="23" spans="1:256">
      <c r="A44" s="163" t="s">
        <v>110</v>
      </c>
      <c r="B44" s="150" t="s">
        <v>111</v>
      </c>
      <c r="C44" s="150" t="s">
        <v>112</v>
      </c>
      <c r="D44" s="152"/>
      <c r="E44" s="153"/>
      <c r="F44" s="166"/>
      <c r="G44" s="154"/>
      <c r="H44" s="154"/>
      <c r="I44" s="154"/>
      <c r="J44" s="154"/>
      <c r="K44" s="154"/>
      <c r="L44" s="166"/>
      <c r="M44" s="167"/>
    </row>
    <row r="45" ht="23" spans="1:256">
      <c r="A45" s="163" t="s">
        <v>113</v>
      </c>
      <c r="B45" s="150" t="s">
        <v>114</v>
      </c>
      <c r="C45" s="150" t="s">
        <v>115</v>
      </c>
      <c r="D45" s="152"/>
      <c r="E45" s="153"/>
      <c r="F45" s="166"/>
      <c r="G45" s="154"/>
      <c r="H45" s="154"/>
      <c r="I45" s="154"/>
      <c r="J45" s="154"/>
      <c r="K45" s="154"/>
      <c r="L45" s="166"/>
      <c r="M45" s="167"/>
    </row>
    <row r="46" spans="1:256">
      <c r="A46" s="163" t="s">
        <v>116</v>
      </c>
      <c r="B46" s="150" t="s">
        <v>117</v>
      </c>
      <c r="C46" s="150" t="s">
        <v>118</v>
      </c>
      <c r="D46" s="152"/>
      <c r="E46" s="153"/>
      <c r="F46" s="166"/>
      <c r="G46" s="154"/>
      <c r="H46" s="154"/>
      <c r="I46" s="154"/>
      <c r="J46" s="154"/>
      <c r="K46" s="154"/>
      <c r="L46" s="166"/>
      <c r="M46" s="167"/>
      <c r="IV46" s="137"/>
    </row>
    <row r="47" ht="23" spans="1:256">
      <c r="A47" s="163" t="s">
        <v>119</v>
      </c>
      <c r="B47" s="150" t="s">
        <v>120</v>
      </c>
      <c r="C47" s="150" t="s">
        <v>121</v>
      </c>
      <c r="D47" s="152"/>
      <c r="E47" s="153"/>
      <c r="F47" s="166"/>
      <c r="G47" s="154"/>
      <c r="H47" s="154"/>
      <c r="I47" s="154"/>
      <c r="J47" s="154"/>
      <c r="K47" s="154"/>
      <c r="L47" s="166"/>
      <c r="M47" s="167"/>
    </row>
    <row r="48" spans="1:256">
      <c r="A48" s="163" t="s">
        <v>122</v>
      </c>
      <c r="B48" s="170" t="s">
        <v>123</v>
      </c>
      <c r="C48" s="171" t="s">
        <v>124</v>
      </c>
      <c r="D48" s="152"/>
      <c r="E48" s="153"/>
      <c r="F48" s="166"/>
      <c r="G48" s="154"/>
      <c r="H48" s="154"/>
      <c r="I48" s="154"/>
      <c r="J48" s="154"/>
      <c r="K48" s="154"/>
      <c r="L48" s="166"/>
      <c r="M48" s="167"/>
    </row>
    <row r="49" spans="1:256">
      <c r="A49" s="164">
        <v>3.4</v>
      </c>
      <c r="B49" s="169" t="s">
        <v>125</v>
      </c>
      <c r="C49" s="169"/>
      <c r="D49" s="160"/>
      <c r="E49" s="160"/>
      <c r="F49" s="160"/>
      <c r="G49" s="161"/>
      <c r="H49" s="161"/>
      <c r="I49" s="161"/>
      <c r="J49" s="161"/>
      <c r="K49" s="161"/>
      <c r="L49" s="160"/>
      <c r="M49" s="162"/>
      <c r="IV49" s="137"/>
    </row>
    <row r="50" ht="34.5" spans="1:256">
      <c r="A50" s="163" t="s">
        <v>126</v>
      </c>
      <c r="B50" s="150" t="s">
        <v>127</v>
      </c>
      <c r="C50" s="150" t="s">
        <v>128</v>
      </c>
      <c r="D50" s="152"/>
      <c r="E50" s="153"/>
      <c r="F50" s="166"/>
      <c r="G50" s="154"/>
      <c r="H50" s="154"/>
      <c r="I50" s="154"/>
      <c r="J50" s="154"/>
      <c r="K50" s="154"/>
      <c r="L50" s="166"/>
      <c r="M50" s="167"/>
    </row>
    <row r="51" ht="34.5" spans="1:256">
      <c r="A51" s="163" t="s">
        <v>129</v>
      </c>
      <c r="B51" s="150" t="s">
        <v>130</v>
      </c>
      <c r="C51" s="150" t="s">
        <v>131</v>
      </c>
      <c r="D51" s="152"/>
      <c r="E51" s="153"/>
      <c r="F51" s="166"/>
      <c r="G51" s="154"/>
      <c r="H51" s="154"/>
      <c r="I51" s="154"/>
      <c r="J51" s="154"/>
      <c r="K51" s="154"/>
      <c r="L51" s="166"/>
      <c r="M51" s="167"/>
    </row>
    <row r="52" spans="1:256">
      <c r="A52" s="163" t="s">
        <v>132</v>
      </c>
      <c r="B52" s="150" t="s">
        <v>133</v>
      </c>
      <c r="C52" s="150" t="s">
        <v>134</v>
      </c>
      <c r="D52" s="152"/>
      <c r="E52" s="153"/>
      <c r="F52" s="166"/>
      <c r="G52" s="154"/>
      <c r="H52" s="154"/>
      <c r="I52" s="154"/>
      <c r="J52" s="154"/>
      <c r="K52" s="154"/>
      <c r="L52" s="166"/>
      <c r="M52" s="167"/>
    </row>
    <row r="53" spans="1:256">
      <c r="A53" s="146"/>
      <c r="B53" s="172" t="s">
        <v>135</v>
      </c>
      <c r="C53" s="173"/>
      <c r="D53" s="173"/>
      <c r="E53" s="173"/>
      <c r="F53" s="174"/>
      <c r="G53" s="173"/>
      <c r="H53" s="173"/>
      <c r="I53" s="173"/>
      <c r="J53" s="173"/>
      <c r="K53" s="173"/>
      <c r="L53" s="173"/>
      <c r="M53" s="175"/>
    </row>
    <row r="54" spans="1:256">
      <c r="F54" s="176"/>
    </row>
    <row r="55" spans="1:256">
      <c r="F55" s="176"/>
    </row>
  </sheetData>
  <mergeCells count="8">
    <mergeCell ref="A1:L1"/>
    <mergeCell ref="F2:H2"/>
    <mergeCell ref="I2:K2"/>
    <mergeCell ref="A2:A3"/>
    <mergeCell ref="B2:B3"/>
    <mergeCell ref="C2:C3"/>
    <mergeCell ref="L2:L3"/>
    <mergeCell ref="M2:M3"/>
  </mergeCells>
  <dataValidations count="1">
    <dataValidation type="list" allowBlank="1" showInputMessage="1" showErrorMessage="1" sqref="M12 M4:M6 M9:M10 M14:M33 M36:M38 M40:M41 M43:M48 M50:M53">
      <formula1>"方案,产品,开发,测试,UI(3D),运维,商务,学生,业务验证,行政"</formula1>
    </dataValidation>
  </dataValidations>
  <pageMargins left="0.314583333333333" right="0.314583333333333" top="0.196527777777778" bottom="0.275" header="0.0388888888888889" footer="0.3"/>
  <pageSetup paperSize="9" scale="25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6"/>
  <sheetViews>
    <sheetView zoomScale="130" zoomScaleNormal="130" workbookViewId="0">
      <pane ySplit="1" topLeftCell="A2" activePane="bottomLeft" state="frozen"/>
      <selection/>
      <selection pane="bottomLeft" activeCell="C9" sqref="C9"/>
    </sheetView>
  </sheetViews>
  <sheetFormatPr defaultColWidth="8.89090909090909" defaultRowHeight="13.75" outlineLevelRow="5" outlineLevelCol="3"/>
  <cols>
    <col min="1" max="1" width="8.89090909090909" style="125"/>
    <col min="2" max="2" width="16.3727272727273" style="126" customWidth="1"/>
    <col min="3" max="3" width="42.6454545454545" style="126" customWidth="1"/>
    <col min="4" max="4" width="8.89090909090909" style="126"/>
  </cols>
  <sheetData>
    <row r="1" spans="1:4">
      <c r="A1" s="127" t="s">
        <v>136</v>
      </c>
      <c r="B1" s="127" t="s">
        <v>137</v>
      </c>
      <c r="C1" s="127" t="s">
        <v>138</v>
      </c>
      <c r="D1" s="127" t="s">
        <v>139</v>
      </c>
    </row>
    <row r="2" ht="41.25" spans="1:4">
      <c r="A2" s="128">
        <v>1</v>
      </c>
      <c r="B2" s="129" t="s">
        <v>140</v>
      </c>
      <c r="C2" s="130" t="s">
        <v>141</v>
      </c>
      <c r="D2" s="131"/>
    </row>
    <row r="3" ht="27.5" spans="1:4">
      <c r="A3" s="128">
        <v>2</v>
      </c>
      <c r="B3" s="129"/>
      <c r="C3" s="130" t="s">
        <v>142</v>
      </c>
      <c r="D3" s="131"/>
    </row>
    <row r="4" ht="27.5" spans="1:4">
      <c r="A4" s="128">
        <v>3</v>
      </c>
      <c r="B4" s="131" t="s">
        <v>143</v>
      </c>
      <c r="C4" s="131" t="s">
        <v>144</v>
      </c>
      <c r="D4" s="131"/>
    </row>
    <row r="5" ht="41.25" spans="1:4">
      <c r="A5" s="128">
        <v>4</v>
      </c>
      <c r="B5" s="131" t="s">
        <v>145</v>
      </c>
      <c r="C5" s="131" t="s">
        <v>146</v>
      </c>
      <c r="D5" s="131"/>
    </row>
    <row r="6" ht="27.5" spans="1:4">
      <c r="A6" s="128">
        <v>5</v>
      </c>
      <c r="B6" s="131" t="s">
        <v>147</v>
      </c>
      <c r="C6" s="131" t="s">
        <v>148</v>
      </c>
      <c r="D6" s="131"/>
    </row>
  </sheetData>
  <mergeCells count="1">
    <mergeCell ref="B2:B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B60"/>
  <sheetViews>
    <sheetView tabSelected="1" zoomScale="70" zoomScaleNormal="70" workbookViewId="0">
      <pane ySplit="3" topLeftCell="A13" activePane="bottomLeft" state="frozen"/>
      <selection/>
      <selection pane="bottomLeft" activeCell="T18" sqref="T18"/>
    </sheetView>
  </sheetViews>
  <sheetFormatPr defaultColWidth="9" defaultRowHeight="13.75"/>
  <cols>
    <col min="1" max="1" width="5.12727272727273" customWidth="1"/>
    <col min="2" max="2" width="11.4" customWidth="1"/>
    <col min="3" max="3" width="77.5" customWidth="1"/>
    <col min="4" max="5" width="9" hidden="1" customWidth="1"/>
    <col min="6" max="6" width="9" style="41" hidden="1" customWidth="1"/>
    <col min="7" max="7" width="9" hidden="1" customWidth="1"/>
    <col min="8" max="8" width="9" style="41" customWidth="1"/>
    <col min="9" max="9" width="9.70909090909091" customWidth="1"/>
    <col min="10" max="10" width="9" customWidth="1"/>
    <col min="11" max="11" width="9" style="42" customWidth="1"/>
    <col min="12" max="12" width="9" style="41" hidden="1" customWidth="1"/>
    <col min="13" max="13" width="10.3727272727273" hidden="1" customWidth="1"/>
    <col min="14" max="14" width="9.70909090909091" hidden="1" customWidth="1"/>
    <col min="15" max="17" width="9.70909090909091" customWidth="1"/>
    <col min="18" max="19" width="9" customWidth="1"/>
    <col min="20" max="20" width="43.8818181818182" style="43" customWidth="1"/>
  </cols>
  <sheetData>
    <row r="1" ht="13.5" customHeight="1" spans="1:262">
      <c r="A1" s="44" t="s">
        <v>0</v>
      </c>
      <c r="B1" s="44"/>
      <c r="C1" s="44"/>
      <c r="D1" s="44"/>
      <c r="E1" s="44"/>
      <c r="F1" s="45"/>
      <c r="G1" s="44"/>
      <c r="H1" s="45"/>
      <c r="I1" s="44"/>
      <c r="J1" s="44"/>
      <c r="K1" s="46"/>
      <c r="L1" s="45"/>
      <c r="M1" s="44"/>
      <c r="N1" s="44"/>
      <c r="O1" s="44"/>
      <c r="P1" s="44"/>
      <c r="Q1" s="44"/>
      <c r="R1" s="44"/>
      <c r="S1" s="47"/>
      <c r="T1" s="48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</row>
    <row r="2" ht="22.5" customHeight="1" spans="1:262">
      <c r="A2" s="50" t="s">
        <v>1</v>
      </c>
      <c r="B2" s="50" t="s">
        <v>2</v>
      </c>
      <c r="C2" s="50" t="s">
        <v>3</v>
      </c>
      <c r="D2" s="51" t="s">
        <v>4</v>
      </c>
      <c r="E2" s="51" t="s">
        <v>149</v>
      </c>
      <c r="F2" s="52" t="s">
        <v>150</v>
      </c>
      <c r="G2" s="53"/>
      <c r="H2" s="54" t="s">
        <v>6</v>
      </c>
      <c r="I2" s="51"/>
      <c r="J2" s="51"/>
      <c r="K2" s="55"/>
      <c r="L2" s="54" t="s">
        <v>7</v>
      </c>
      <c r="M2" s="51"/>
      <c r="N2" s="51"/>
      <c r="O2" s="56" t="s">
        <v>151</v>
      </c>
      <c r="P2" s="57"/>
      <c r="Q2" s="58"/>
      <c r="R2" s="51" t="s">
        <v>8</v>
      </c>
      <c r="S2" s="51" t="s">
        <v>9</v>
      </c>
      <c r="T2" s="48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</row>
    <row r="3" ht="23" spans="1:262">
      <c r="A3" s="50"/>
      <c r="B3" s="50"/>
      <c r="C3" s="50"/>
      <c r="D3" s="51"/>
      <c r="E3" s="51"/>
      <c r="F3" s="54" t="s">
        <v>152</v>
      </c>
      <c r="G3" s="51" t="s">
        <v>153</v>
      </c>
      <c r="H3" s="54" t="s">
        <v>154</v>
      </c>
      <c r="I3" s="51" t="s">
        <v>155</v>
      </c>
      <c r="J3" s="51" t="s">
        <v>156</v>
      </c>
      <c r="K3" s="55" t="s">
        <v>157</v>
      </c>
      <c r="L3" s="54" t="s">
        <v>10</v>
      </c>
      <c r="M3" s="51" t="s">
        <v>155</v>
      </c>
      <c r="N3" s="51" t="s">
        <v>158</v>
      </c>
      <c r="O3" s="51" t="s">
        <v>159</v>
      </c>
      <c r="P3" s="51" t="s">
        <v>160</v>
      </c>
      <c r="Q3" s="51" t="s">
        <v>161</v>
      </c>
      <c r="R3" s="51"/>
      <c r="S3" s="51"/>
      <c r="T3" s="48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</row>
    <row r="4" spans="1:262">
      <c r="A4" s="59">
        <v>1</v>
      </c>
      <c r="B4" s="60" t="s">
        <v>14</v>
      </c>
      <c r="C4" s="61"/>
      <c r="D4" s="61"/>
      <c r="E4" s="61"/>
      <c r="F4" s="62"/>
      <c r="G4" s="61"/>
      <c r="H4" s="62"/>
      <c r="I4" s="61"/>
      <c r="J4" s="61"/>
      <c r="K4" s="63">
        <v>1</v>
      </c>
      <c r="L4" s="62"/>
      <c r="M4" s="61"/>
      <c r="N4" s="61"/>
      <c r="O4" s="61"/>
      <c r="P4" s="61"/>
      <c r="Q4" s="61"/>
      <c r="R4" s="61"/>
      <c r="S4" s="64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</row>
    <row r="5" ht="23" spans="1:262">
      <c r="A5" s="65">
        <v>1.1</v>
      </c>
      <c r="B5" s="66" t="s">
        <v>15</v>
      </c>
      <c r="C5" s="66" t="s">
        <v>16</v>
      </c>
      <c r="D5" s="67"/>
      <c r="E5" s="68"/>
      <c r="F5" s="69"/>
      <c r="G5" s="68"/>
      <c r="H5" s="70"/>
      <c r="I5" s="71"/>
      <c r="J5" s="71"/>
      <c r="K5" s="72"/>
      <c r="L5" s="73"/>
      <c r="M5" s="71"/>
      <c r="N5" s="71"/>
      <c r="O5" s="71"/>
      <c r="P5" s="71"/>
      <c r="Q5" s="71"/>
      <c r="R5" s="67" t="s">
        <v>17</v>
      </c>
      <c r="S5" s="74" t="s">
        <v>18</v>
      </c>
      <c r="T5" s="48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</row>
    <row r="6" spans="1:262">
      <c r="A6" s="65">
        <v>1.2</v>
      </c>
      <c r="B6" s="66" t="s">
        <v>19</v>
      </c>
      <c r="C6" s="66"/>
      <c r="D6" s="67"/>
      <c r="E6" s="68"/>
      <c r="F6" s="69"/>
      <c r="G6" s="68"/>
      <c r="H6" s="70"/>
      <c r="I6" s="71"/>
      <c r="J6" s="71"/>
      <c r="K6" s="72"/>
      <c r="L6" s="73"/>
      <c r="M6" s="71"/>
      <c r="N6" s="71"/>
      <c r="O6" s="71"/>
      <c r="P6" s="71"/>
      <c r="Q6" s="71"/>
      <c r="R6" s="67" t="s">
        <v>20</v>
      </c>
      <c r="S6" s="74" t="s">
        <v>21</v>
      </c>
      <c r="T6" s="48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</row>
    <row r="7" spans="1:262">
      <c r="A7" s="59">
        <v>2</v>
      </c>
      <c r="B7" s="75" t="s">
        <v>162</v>
      </c>
      <c r="C7" s="61"/>
      <c r="D7" s="61"/>
      <c r="E7" s="61"/>
      <c r="F7" s="62"/>
      <c r="G7" s="61"/>
      <c r="H7" s="62"/>
      <c r="I7" s="76"/>
      <c r="J7" s="76"/>
      <c r="K7" s="77"/>
      <c r="L7" s="78"/>
      <c r="M7" s="76"/>
      <c r="N7" s="76"/>
      <c r="O7" s="76"/>
      <c r="P7" s="76"/>
      <c r="Q7" s="76"/>
      <c r="R7" s="61"/>
      <c r="S7" s="64"/>
      <c r="T7" s="48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</row>
    <row r="8" spans="1:262">
      <c r="A8" s="79" t="s">
        <v>163</v>
      </c>
      <c r="B8" s="80" t="s">
        <v>164</v>
      </c>
      <c r="C8" s="63"/>
      <c r="D8" s="63"/>
      <c r="E8" s="63"/>
      <c r="F8" s="81"/>
      <c r="G8" s="82"/>
      <c r="H8" s="83"/>
      <c r="I8" s="77"/>
      <c r="J8" s="77"/>
      <c r="K8" s="77"/>
      <c r="L8" s="81"/>
      <c r="M8" s="82"/>
      <c r="N8" s="82"/>
      <c r="O8" s="82"/>
      <c r="P8" s="82"/>
      <c r="Q8" s="82"/>
      <c r="R8" s="63"/>
      <c r="S8" s="84"/>
      <c r="T8" s="48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</row>
    <row r="9" s="40" customFormat="1" spans="1:262">
      <c r="A9" s="85">
        <v>1.1</v>
      </c>
      <c r="B9" s="86" t="s">
        <v>165</v>
      </c>
      <c r="C9" s="86" t="s">
        <v>166</v>
      </c>
      <c r="D9" s="77"/>
      <c r="E9" s="77"/>
      <c r="F9" s="87"/>
      <c r="G9" s="88"/>
      <c r="H9" s="89">
        <v>7</v>
      </c>
      <c r="I9" s="90">
        <v>46128</v>
      </c>
      <c r="J9" s="90">
        <v>46134</v>
      </c>
      <c r="K9" s="91">
        <v>1</v>
      </c>
      <c r="L9" s="87"/>
      <c r="M9" s="88"/>
      <c r="N9" s="88"/>
      <c r="O9" s="90">
        <v>46128</v>
      </c>
      <c r="P9" s="90">
        <v>46134</v>
      </c>
      <c r="Q9" s="92">
        <f>42.5/8+21.5/8</f>
        <v>8</v>
      </c>
      <c r="R9" s="93" t="s">
        <v>167</v>
      </c>
      <c r="S9" s="94"/>
      <c r="T9" s="95" t="s">
        <v>168</v>
      </c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</row>
    <row r="10" ht="23" spans="1:262">
      <c r="A10" s="85">
        <v>1.2</v>
      </c>
      <c r="B10" s="86" t="s">
        <v>169</v>
      </c>
      <c r="C10" s="86" t="s">
        <v>170</v>
      </c>
      <c r="D10" s="93"/>
      <c r="E10" s="96"/>
      <c r="F10" s="87">
        <v>3</v>
      </c>
      <c r="G10" s="88">
        <v>46137</v>
      </c>
      <c r="H10" s="89">
        <v>7</v>
      </c>
      <c r="I10" s="90">
        <v>46128</v>
      </c>
      <c r="J10" s="90">
        <v>46134</v>
      </c>
      <c r="K10" s="91">
        <v>1</v>
      </c>
      <c r="L10" s="87"/>
      <c r="M10" s="88"/>
      <c r="N10" s="88"/>
      <c r="O10" s="90">
        <v>46128</v>
      </c>
      <c r="P10" s="90">
        <v>46134</v>
      </c>
      <c r="Q10" s="97"/>
      <c r="R10" s="93" t="s">
        <v>167</v>
      </c>
      <c r="S10" s="94"/>
      <c r="T10" s="95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</row>
    <row r="11" spans="1:262">
      <c r="A11" s="79" t="s">
        <v>171</v>
      </c>
      <c r="B11" s="80" t="s">
        <v>164</v>
      </c>
      <c r="C11" s="63"/>
      <c r="D11" s="63"/>
      <c r="E11" s="63"/>
      <c r="F11" s="81"/>
      <c r="G11" s="82"/>
      <c r="H11" s="83"/>
      <c r="I11" s="77"/>
      <c r="J11" s="77"/>
      <c r="K11" s="77"/>
      <c r="L11" s="81"/>
      <c r="M11" s="82"/>
      <c r="N11" s="82"/>
      <c r="O11" s="82"/>
      <c r="P11" s="82"/>
      <c r="Q11" s="83"/>
      <c r="R11" s="63"/>
      <c r="S11" s="84"/>
      <c r="T11" s="48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</row>
    <row r="12" s="40" customFormat="1" ht="57.5" spans="1:262">
      <c r="A12" s="85">
        <v>2.1</v>
      </c>
      <c r="B12" s="86" t="s">
        <v>172</v>
      </c>
      <c r="C12" s="86" t="s">
        <v>173</v>
      </c>
      <c r="D12" s="77"/>
      <c r="E12" s="77"/>
      <c r="F12" s="87"/>
      <c r="G12" s="88"/>
      <c r="H12" s="89">
        <v>5</v>
      </c>
      <c r="I12" s="90">
        <v>46135</v>
      </c>
      <c r="J12" s="90">
        <v>46141</v>
      </c>
      <c r="K12" s="91">
        <v>0.6</v>
      </c>
      <c r="L12" s="87"/>
      <c r="M12" s="88"/>
      <c r="N12" s="88"/>
      <c r="O12" s="90">
        <v>46133</v>
      </c>
      <c r="P12" s="90"/>
      <c r="Q12" s="89">
        <f>59.5/8+12.5/8+14/8</f>
        <v>10.75</v>
      </c>
      <c r="R12" s="93" t="s">
        <v>167</v>
      </c>
      <c r="S12" s="94"/>
      <c r="T12" s="48" t="s">
        <v>174</v>
      </c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</row>
    <row r="13" spans="1:262">
      <c r="A13" s="98" t="s">
        <v>31</v>
      </c>
      <c r="B13" s="99" t="s">
        <v>32</v>
      </c>
      <c r="C13" s="100"/>
      <c r="D13" s="100"/>
      <c r="E13" s="100"/>
      <c r="F13" s="101"/>
      <c r="G13" s="102"/>
      <c r="H13" s="103"/>
      <c r="I13" s="104"/>
      <c r="J13" s="104"/>
      <c r="K13" s="77"/>
      <c r="L13" s="101"/>
      <c r="M13" s="102"/>
      <c r="N13" s="102"/>
      <c r="O13" s="102"/>
      <c r="P13" s="102"/>
      <c r="Q13" s="103"/>
      <c r="R13" s="100"/>
      <c r="S13" s="105"/>
      <c r="T13" s="48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49"/>
      <c r="IT13" s="49"/>
      <c r="IU13" s="49"/>
      <c r="IV13" s="49"/>
      <c r="IW13" s="49"/>
      <c r="IX13" s="49"/>
      <c r="IY13" s="49"/>
      <c r="IZ13" s="49"/>
      <c r="JA13" s="49"/>
      <c r="JB13" s="49"/>
    </row>
    <row r="14" ht="23" spans="1:262">
      <c r="A14" s="106" t="s">
        <v>33</v>
      </c>
      <c r="B14" s="66" t="s">
        <v>34</v>
      </c>
      <c r="C14" s="66" t="s">
        <v>175</v>
      </c>
      <c r="D14" s="67"/>
      <c r="E14" s="68"/>
      <c r="F14" s="73">
        <v>3</v>
      </c>
      <c r="G14" s="107">
        <v>46137</v>
      </c>
      <c r="H14" s="70">
        <v>14</v>
      </c>
      <c r="I14" s="108">
        <v>46148</v>
      </c>
      <c r="J14" s="108">
        <v>46164</v>
      </c>
      <c r="K14" s="91"/>
      <c r="L14" s="73">
        <v>8</v>
      </c>
      <c r="M14" s="107">
        <v>46148</v>
      </c>
      <c r="N14" s="107">
        <v>46171</v>
      </c>
      <c r="O14" s="107"/>
      <c r="P14" s="107"/>
      <c r="Q14" s="70"/>
      <c r="R14" s="93" t="s">
        <v>167</v>
      </c>
      <c r="S14" s="74"/>
      <c r="T14" s="48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N14" s="49"/>
      <c r="IO14" s="49"/>
      <c r="IP14" s="49"/>
      <c r="IQ14" s="49"/>
      <c r="IR14" s="49"/>
      <c r="IS14" s="49"/>
      <c r="IT14" s="49"/>
      <c r="IU14" s="49"/>
      <c r="IV14" s="49"/>
      <c r="IW14" s="49"/>
      <c r="IX14" s="49"/>
      <c r="IY14" s="49"/>
      <c r="IZ14" s="49"/>
      <c r="JA14" s="49"/>
      <c r="JB14" s="49"/>
    </row>
    <row r="15" spans="1:262">
      <c r="A15" s="98" t="s">
        <v>23</v>
      </c>
      <c r="B15" s="80" t="s">
        <v>24</v>
      </c>
      <c r="C15" s="100"/>
      <c r="D15" s="100"/>
      <c r="E15" s="100"/>
      <c r="F15" s="103"/>
      <c r="G15" s="100"/>
      <c r="H15" s="103"/>
      <c r="I15" s="104"/>
      <c r="J15" s="104"/>
      <c r="K15" s="77"/>
      <c r="L15" s="101"/>
      <c r="M15" s="104"/>
      <c r="N15" s="104"/>
      <c r="O15" s="104"/>
      <c r="P15" s="104"/>
      <c r="Q15" s="103"/>
      <c r="R15" s="100"/>
      <c r="S15" s="105"/>
      <c r="T15" s="48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X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N15" s="49"/>
      <c r="IO15" s="49"/>
      <c r="IP15" s="49"/>
      <c r="IQ15" s="49"/>
      <c r="IR15" s="49"/>
      <c r="IS15" s="49"/>
      <c r="IT15" s="49"/>
      <c r="IU15" s="49"/>
      <c r="IV15" s="49"/>
      <c r="IW15" s="49"/>
      <c r="IX15" s="49"/>
      <c r="IY15" s="49"/>
      <c r="IZ15" s="49"/>
      <c r="JA15" s="49"/>
      <c r="JB15" s="49"/>
    </row>
    <row r="16" ht="80.5" spans="1:262">
      <c r="A16" s="106" t="s">
        <v>25</v>
      </c>
      <c r="B16" s="66" t="s">
        <v>26</v>
      </c>
      <c r="C16" s="66" t="s">
        <v>176</v>
      </c>
      <c r="D16" s="67"/>
      <c r="E16" s="68"/>
      <c r="F16" s="73">
        <v>5</v>
      </c>
      <c r="G16" s="107">
        <v>46137</v>
      </c>
      <c r="H16" s="70"/>
      <c r="I16" s="108"/>
      <c r="J16" s="108"/>
      <c r="K16" s="90"/>
      <c r="L16" s="73">
        <v>10</v>
      </c>
      <c r="M16" s="107">
        <v>46148</v>
      </c>
      <c r="N16" s="107">
        <v>46171</v>
      </c>
      <c r="O16" s="107"/>
      <c r="P16" s="107"/>
      <c r="Q16" s="70"/>
      <c r="R16" s="67"/>
      <c r="S16" s="74"/>
      <c r="T16" s="48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H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X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N16" s="49"/>
      <c r="IO16" s="49"/>
      <c r="IP16" s="49"/>
      <c r="IQ16" s="49"/>
      <c r="IR16" s="49"/>
      <c r="IS16" s="49"/>
      <c r="IT16" s="49"/>
      <c r="IU16" s="49"/>
      <c r="IV16" s="49"/>
      <c r="IW16" s="49"/>
      <c r="IX16" s="49"/>
      <c r="IY16" s="49"/>
      <c r="IZ16" s="49"/>
      <c r="JA16" s="49"/>
      <c r="JB16" s="49"/>
    </row>
    <row r="17" ht="30.5" spans="1:262">
      <c r="A17" s="106" t="s">
        <v>28</v>
      </c>
      <c r="B17" s="66" t="s">
        <v>29</v>
      </c>
      <c r="C17" s="66" t="s">
        <v>30</v>
      </c>
      <c r="D17" s="67"/>
      <c r="E17" s="68"/>
      <c r="F17" s="73">
        <v>0.5</v>
      </c>
      <c r="G17" s="107">
        <v>46137</v>
      </c>
      <c r="H17" s="70">
        <v>11</v>
      </c>
      <c r="I17" s="108">
        <v>46167</v>
      </c>
      <c r="J17" s="108">
        <v>46181</v>
      </c>
      <c r="K17" s="91"/>
      <c r="L17" s="73">
        <v>3</v>
      </c>
      <c r="M17" s="107">
        <v>46148</v>
      </c>
      <c r="N17" s="107">
        <v>46171</v>
      </c>
      <c r="O17" s="107"/>
      <c r="P17" s="107"/>
      <c r="Q17" s="70"/>
      <c r="R17" s="67"/>
      <c r="S17" s="74"/>
      <c r="T17" s="48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N17" s="49"/>
      <c r="IO17" s="49"/>
      <c r="IP17" s="49"/>
      <c r="IQ17" s="49"/>
      <c r="IR17" s="49"/>
      <c r="IS17" s="49"/>
      <c r="IT17" s="49"/>
      <c r="IU17" s="49"/>
      <c r="IV17" s="49"/>
      <c r="IW17" s="49"/>
      <c r="IX17" s="49"/>
      <c r="IY17" s="49"/>
      <c r="IZ17" s="49"/>
      <c r="JA17" s="49"/>
      <c r="JB17" s="49"/>
    </row>
    <row r="18" spans="1:262">
      <c r="A18" s="98" t="s">
        <v>23</v>
      </c>
      <c r="B18" s="80" t="s">
        <v>24</v>
      </c>
      <c r="C18" s="100"/>
      <c r="D18" s="100"/>
      <c r="E18" s="100"/>
      <c r="F18" s="101"/>
      <c r="G18" s="102"/>
      <c r="H18" s="103"/>
      <c r="I18" s="104"/>
      <c r="J18" s="104"/>
      <c r="K18" s="77"/>
      <c r="L18" s="101"/>
      <c r="M18" s="102"/>
      <c r="N18" s="102"/>
      <c r="O18" s="102"/>
      <c r="P18" s="102"/>
      <c r="Q18" s="102"/>
      <c r="R18" s="100"/>
      <c r="S18" s="105"/>
      <c r="T18" s="48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  <c r="IR18" s="49"/>
      <c r="IS18" s="49"/>
      <c r="IT18" s="49"/>
      <c r="IU18" s="49"/>
      <c r="IV18" s="49"/>
      <c r="IW18" s="49"/>
      <c r="IX18" s="49"/>
      <c r="IY18" s="49"/>
      <c r="IZ18" s="49"/>
      <c r="JA18" s="49"/>
      <c r="JB18" s="49"/>
    </row>
    <row r="19" ht="34.5" spans="1:262">
      <c r="A19" s="106" t="s">
        <v>36</v>
      </c>
      <c r="B19" s="66" t="s">
        <v>37</v>
      </c>
      <c r="C19" s="66" t="s">
        <v>38</v>
      </c>
      <c r="D19" s="67"/>
      <c r="E19" s="68"/>
      <c r="F19" s="73">
        <v>3</v>
      </c>
      <c r="G19" s="107">
        <v>46137</v>
      </c>
      <c r="H19" s="70"/>
      <c r="I19" s="108"/>
      <c r="J19" s="108"/>
      <c r="K19" s="90"/>
      <c r="L19" s="73">
        <v>5</v>
      </c>
      <c r="M19" s="107">
        <v>46148</v>
      </c>
      <c r="N19" s="107">
        <v>46171</v>
      </c>
      <c r="O19" s="107"/>
      <c r="P19" s="107"/>
      <c r="Q19" s="107"/>
      <c r="R19" s="67"/>
      <c r="S19" s="74"/>
      <c r="T19" s="48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X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N19" s="49"/>
      <c r="IO19" s="49"/>
      <c r="IP19" s="49"/>
      <c r="IQ19" s="49"/>
      <c r="IR19" s="49"/>
      <c r="IS19" s="49"/>
      <c r="IT19" s="49"/>
      <c r="IU19" s="49"/>
      <c r="IV19" s="49"/>
      <c r="IW19" s="49"/>
      <c r="IX19" s="49"/>
      <c r="IY19" s="49"/>
      <c r="IZ19" s="49"/>
      <c r="JA19" s="49"/>
      <c r="JB19" s="49"/>
    </row>
    <row r="20" spans="1:262">
      <c r="A20" s="109">
        <v>2.3</v>
      </c>
      <c r="B20" s="99" t="s">
        <v>39</v>
      </c>
      <c r="C20" s="100"/>
      <c r="D20" s="100"/>
      <c r="E20" s="100"/>
      <c r="F20" s="101"/>
      <c r="G20" s="104"/>
      <c r="H20" s="103"/>
      <c r="I20" s="104"/>
      <c r="J20" s="104"/>
      <c r="K20" s="77"/>
      <c r="L20" s="101"/>
      <c r="M20" s="102"/>
      <c r="N20" s="102"/>
      <c r="O20" s="102"/>
      <c r="P20" s="102"/>
      <c r="Q20" s="102"/>
      <c r="R20" s="100"/>
      <c r="S20" s="105"/>
      <c r="T20" s="48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V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L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B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R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H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X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N20" s="49"/>
      <c r="IO20" s="49"/>
      <c r="IP20" s="49"/>
      <c r="IQ20" s="49"/>
      <c r="IR20" s="49"/>
      <c r="IS20" s="49"/>
      <c r="IT20" s="49"/>
      <c r="IU20" s="49"/>
      <c r="IV20" s="49"/>
      <c r="IW20" s="49"/>
      <c r="IX20" s="49"/>
      <c r="IY20" s="49"/>
      <c r="IZ20" s="49"/>
      <c r="JA20" s="49"/>
      <c r="JB20" s="49"/>
    </row>
    <row r="21" ht="34.5" spans="1:262">
      <c r="A21" s="110" t="s">
        <v>40</v>
      </c>
      <c r="B21" s="66" t="s">
        <v>41</v>
      </c>
      <c r="C21" s="66" t="s">
        <v>42</v>
      </c>
      <c r="D21" s="67"/>
      <c r="E21" s="68"/>
      <c r="F21" s="73">
        <v>5</v>
      </c>
      <c r="G21" s="111"/>
      <c r="H21" s="70">
        <v>20</v>
      </c>
      <c r="I21" s="108">
        <v>46182</v>
      </c>
      <c r="J21" s="108">
        <v>46210</v>
      </c>
      <c r="K21" s="91"/>
      <c r="L21" s="73">
        <v>10</v>
      </c>
      <c r="M21" s="107">
        <v>46174</v>
      </c>
      <c r="N21" s="107">
        <v>46203</v>
      </c>
      <c r="O21" s="107"/>
      <c r="P21" s="107"/>
      <c r="Q21" s="107"/>
      <c r="R21" s="67"/>
      <c r="S21" s="74"/>
      <c r="T21" s="48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N21" s="49"/>
      <c r="IO21" s="49"/>
      <c r="IP21" s="49"/>
      <c r="IQ21" s="49"/>
      <c r="IR21" s="49"/>
      <c r="IS21" s="49"/>
      <c r="IT21" s="49"/>
      <c r="IU21" s="49"/>
      <c r="IV21" s="49"/>
      <c r="IW21" s="49"/>
      <c r="IX21" s="49"/>
      <c r="IY21" s="49"/>
      <c r="IZ21" s="49"/>
      <c r="JA21" s="49"/>
      <c r="JB21" s="49"/>
    </row>
    <row r="22" ht="23" spans="1:262">
      <c r="A22" s="110" t="s">
        <v>43</v>
      </c>
      <c r="B22" s="66" t="s">
        <v>44</v>
      </c>
      <c r="C22" s="66" t="s">
        <v>45</v>
      </c>
      <c r="D22" s="67"/>
      <c r="E22" s="68"/>
      <c r="F22" s="73">
        <v>5</v>
      </c>
      <c r="G22" s="111"/>
      <c r="H22" s="70"/>
      <c r="I22" s="71"/>
      <c r="J22" s="71"/>
      <c r="K22" s="72"/>
      <c r="L22" s="73">
        <v>20</v>
      </c>
      <c r="M22" s="107">
        <v>46174</v>
      </c>
      <c r="N22" s="107">
        <v>46203</v>
      </c>
      <c r="O22" s="107"/>
      <c r="P22" s="107"/>
      <c r="Q22" s="107"/>
      <c r="R22" s="67"/>
      <c r="S22" s="74"/>
      <c r="T22" s="48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B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R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H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X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N22" s="49"/>
      <c r="IO22" s="49"/>
      <c r="IP22" s="49"/>
      <c r="IQ22" s="49"/>
      <c r="IR22" s="49"/>
      <c r="IS22" s="49"/>
      <c r="IT22" s="49"/>
      <c r="IU22" s="49"/>
      <c r="IV22" s="49"/>
      <c r="IW22" s="49"/>
      <c r="IX22" s="49"/>
      <c r="IY22" s="49"/>
      <c r="IZ22" s="49"/>
      <c r="JA22" s="49"/>
      <c r="JB22" s="49"/>
    </row>
    <row r="23" ht="80.5" spans="1:262">
      <c r="A23" s="110" t="s">
        <v>46</v>
      </c>
      <c r="B23" s="66" t="s">
        <v>47</v>
      </c>
      <c r="C23" s="66" t="s">
        <v>177</v>
      </c>
      <c r="D23" s="67"/>
      <c r="E23" s="68"/>
      <c r="F23" s="73">
        <v>5</v>
      </c>
      <c r="G23" s="111"/>
      <c r="H23" s="70"/>
      <c r="I23" s="71"/>
      <c r="J23" s="71"/>
      <c r="K23" s="72"/>
      <c r="L23" s="73">
        <v>10</v>
      </c>
      <c r="M23" s="107">
        <v>46174</v>
      </c>
      <c r="N23" s="107">
        <v>46203</v>
      </c>
      <c r="O23" s="107"/>
      <c r="P23" s="107"/>
      <c r="Q23" s="107"/>
      <c r="R23" s="67"/>
      <c r="S23" s="74"/>
      <c r="T23" s="48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H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N23" s="49"/>
      <c r="IO23" s="49"/>
      <c r="IP23" s="49"/>
      <c r="IQ23" s="49"/>
      <c r="IR23" s="49"/>
      <c r="IS23" s="49"/>
      <c r="IT23" s="49"/>
      <c r="IU23" s="49"/>
      <c r="IV23" s="49"/>
      <c r="IW23" s="49"/>
      <c r="IX23" s="49"/>
      <c r="IY23" s="49"/>
      <c r="IZ23" s="49"/>
      <c r="JA23" s="49"/>
      <c r="JB23" s="49"/>
    </row>
    <row r="24" ht="103.5" spans="1:262">
      <c r="A24" s="110" t="s">
        <v>49</v>
      </c>
      <c r="B24" s="66" t="s">
        <v>50</v>
      </c>
      <c r="C24" s="112" t="s">
        <v>178</v>
      </c>
      <c r="D24" s="67"/>
      <c r="E24" s="68"/>
      <c r="F24" s="73">
        <v>0</v>
      </c>
      <c r="G24" s="111"/>
      <c r="H24" s="70"/>
      <c r="I24" s="71"/>
      <c r="J24" s="71"/>
      <c r="K24" s="72"/>
      <c r="L24" s="73">
        <v>5</v>
      </c>
      <c r="M24" s="107">
        <v>46204</v>
      </c>
      <c r="N24" s="107">
        <v>46234</v>
      </c>
      <c r="O24" s="107"/>
      <c r="P24" s="107"/>
      <c r="Q24" s="107"/>
      <c r="R24" s="67"/>
      <c r="S24" s="74"/>
      <c r="T24" s="48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H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X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N24" s="49"/>
      <c r="IO24" s="49"/>
      <c r="IP24" s="49"/>
      <c r="IQ24" s="49"/>
      <c r="IR24" s="49"/>
      <c r="IS24" s="49"/>
      <c r="IT24" s="49"/>
      <c r="IU24" s="49"/>
      <c r="IV24" s="49"/>
      <c r="IW24" s="49"/>
      <c r="IX24" s="49"/>
      <c r="IY24" s="49"/>
      <c r="IZ24" s="49"/>
      <c r="JA24" s="49"/>
      <c r="JB24" s="49"/>
    </row>
    <row r="25" spans="1:262">
      <c r="A25" s="109">
        <v>2.4</v>
      </c>
      <c r="B25" s="99" t="s">
        <v>52</v>
      </c>
      <c r="C25" s="100"/>
      <c r="D25" s="100"/>
      <c r="E25" s="100"/>
      <c r="F25" s="103"/>
      <c r="G25" s="100"/>
      <c r="H25" s="103"/>
      <c r="I25" s="104"/>
      <c r="J25" s="104"/>
      <c r="K25" s="77"/>
      <c r="L25" s="101"/>
      <c r="M25" s="102"/>
      <c r="N25" s="102"/>
      <c r="O25" s="102"/>
      <c r="P25" s="102"/>
      <c r="Q25" s="102"/>
      <c r="R25" s="100"/>
      <c r="S25" s="105"/>
      <c r="T25" s="48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B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R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H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X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N25" s="49"/>
      <c r="IO25" s="49"/>
      <c r="IP25" s="49"/>
      <c r="IQ25" s="49"/>
      <c r="IR25" s="49"/>
      <c r="IS25" s="49"/>
      <c r="IT25" s="49"/>
      <c r="IU25" s="49"/>
      <c r="IV25" s="49"/>
      <c r="IW25" s="49"/>
      <c r="IX25" s="49"/>
      <c r="IY25" s="49"/>
      <c r="IZ25" s="49"/>
      <c r="JA25" s="49"/>
      <c r="JB25" s="49"/>
    </row>
    <row r="26" ht="23" spans="1:262">
      <c r="A26" s="110" t="s">
        <v>53</v>
      </c>
      <c r="B26" s="66" t="s">
        <v>54</v>
      </c>
      <c r="C26" s="66" t="s">
        <v>179</v>
      </c>
      <c r="D26" s="67"/>
      <c r="E26" s="68"/>
      <c r="F26" s="73">
        <v>2</v>
      </c>
      <c r="G26" s="68"/>
      <c r="H26" s="70">
        <v>2</v>
      </c>
      <c r="I26" s="71"/>
      <c r="J26" s="71"/>
      <c r="K26" s="72"/>
      <c r="L26" s="73">
        <v>10</v>
      </c>
      <c r="M26" s="107">
        <v>46204</v>
      </c>
      <c r="N26" s="107">
        <v>46234</v>
      </c>
      <c r="O26" s="107"/>
      <c r="P26" s="107"/>
      <c r="Q26" s="107"/>
      <c r="R26" s="67"/>
      <c r="S26" s="74"/>
      <c r="T26" s="48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B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R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H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X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N26" s="49"/>
      <c r="IO26" s="49"/>
      <c r="IP26" s="49"/>
      <c r="IQ26" s="49"/>
      <c r="IR26" s="49"/>
      <c r="IS26" s="49"/>
      <c r="IT26" s="49"/>
      <c r="IU26" s="49"/>
      <c r="IV26" s="49"/>
      <c r="IW26" s="49"/>
      <c r="IX26" s="49"/>
      <c r="IY26" s="49"/>
      <c r="IZ26" s="49"/>
      <c r="JA26" s="49"/>
      <c r="JB26" s="49"/>
    </row>
    <row r="27" ht="46" spans="1:262">
      <c r="A27" s="110" t="s">
        <v>56</v>
      </c>
      <c r="B27" s="65" t="s">
        <v>57</v>
      </c>
      <c r="C27" s="65" t="s">
        <v>180</v>
      </c>
      <c r="D27" s="67"/>
      <c r="E27" s="68"/>
      <c r="F27" s="73">
        <v>5</v>
      </c>
      <c r="G27" s="68"/>
      <c r="H27" s="69">
        <v>7</v>
      </c>
      <c r="I27" s="71"/>
      <c r="J27" s="71"/>
      <c r="K27" s="72"/>
      <c r="L27" s="73">
        <v>20</v>
      </c>
      <c r="M27" s="107">
        <v>46204</v>
      </c>
      <c r="N27" s="107">
        <v>46234</v>
      </c>
      <c r="O27" s="107"/>
      <c r="P27" s="107"/>
      <c r="Q27" s="107"/>
      <c r="R27" s="113"/>
      <c r="S27" s="74"/>
      <c r="T27" s="48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  <c r="FW27" s="49"/>
      <c r="FX27" s="49"/>
      <c r="FY27" s="49"/>
      <c r="FZ27" s="49"/>
      <c r="GA27" s="49"/>
      <c r="GB27" s="49"/>
      <c r="GC27" s="49"/>
      <c r="GD27" s="49"/>
      <c r="GE27" s="49"/>
      <c r="GF27" s="49"/>
      <c r="GG27" s="49"/>
      <c r="GH27" s="49"/>
      <c r="GI27" s="49"/>
      <c r="GJ27" s="49"/>
      <c r="GK27" s="49"/>
      <c r="GL27" s="49"/>
      <c r="GM27" s="49"/>
      <c r="GN27" s="49"/>
      <c r="GO27" s="49"/>
      <c r="GP27" s="49"/>
      <c r="GQ27" s="49"/>
      <c r="GR27" s="49"/>
      <c r="GS27" s="49"/>
      <c r="GT27" s="49"/>
      <c r="GU27" s="49"/>
      <c r="GV27" s="49"/>
      <c r="GW27" s="49"/>
      <c r="GX27" s="49"/>
      <c r="GY27" s="49"/>
      <c r="GZ27" s="49"/>
      <c r="HA27" s="49"/>
      <c r="HB27" s="49"/>
      <c r="HC27" s="49"/>
      <c r="HD27" s="49"/>
      <c r="HE27" s="49"/>
      <c r="HF27" s="49"/>
      <c r="HG27" s="49"/>
      <c r="HH27" s="49"/>
      <c r="HI27" s="49"/>
      <c r="HJ27" s="49"/>
      <c r="HK27" s="49"/>
      <c r="HL27" s="49"/>
      <c r="HM27" s="49"/>
      <c r="HN27" s="49"/>
      <c r="HO27" s="49"/>
      <c r="HP27" s="49"/>
      <c r="HQ27" s="49"/>
      <c r="HR27" s="49"/>
      <c r="HS27" s="49"/>
      <c r="HT27" s="49"/>
      <c r="HU27" s="49"/>
      <c r="HV27" s="49"/>
      <c r="HW27" s="49"/>
      <c r="HX27" s="49"/>
      <c r="HY27" s="49"/>
      <c r="HZ27" s="49"/>
      <c r="IA27" s="49"/>
      <c r="IB27" s="49"/>
      <c r="IC27" s="49"/>
      <c r="ID27" s="49"/>
      <c r="IE27" s="49"/>
      <c r="IF27" s="49"/>
      <c r="IG27" s="49"/>
      <c r="IH27" s="49"/>
      <c r="II27" s="49"/>
      <c r="IJ27" s="49"/>
      <c r="IK27" s="49"/>
      <c r="IL27" s="49"/>
      <c r="IM27" s="49"/>
      <c r="IN27" s="49"/>
      <c r="IO27" s="49"/>
      <c r="IP27" s="49"/>
      <c r="IQ27" s="49"/>
      <c r="IR27" s="49"/>
      <c r="IS27" s="49"/>
      <c r="IT27" s="49"/>
      <c r="IU27" s="49"/>
      <c r="IV27" s="49"/>
      <c r="IW27" s="49"/>
      <c r="IX27" s="49"/>
      <c r="IY27" s="49"/>
      <c r="IZ27" s="49"/>
      <c r="JA27" s="49"/>
      <c r="JB27" s="49"/>
    </row>
    <row r="28" ht="23" spans="1:262">
      <c r="A28" s="110" t="s">
        <v>59</v>
      </c>
      <c r="B28" s="65" t="s">
        <v>60</v>
      </c>
      <c r="C28" s="65" t="s">
        <v>61</v>
      </c>
      <c r="D28" s="67"/>
      <c r="E28" s="68"/>
      <c r="F28" s="73">
        <v>2</v>
      </c>
      <c r="G28" s="68"/>
      <c r="H28" s="69"/>
      <c r="I28" s="71"/>
      <c r="J28" s="71"/>
      <c r="K28" s="72"/>
      <c r="L28" s="73">
        <v>6</v>
      </c>
      <c r="M28" s="107">
        <v>46204</v>
      </c>
      <c r="N28" s="107">
        <v>46234</v>
      </c>
      <c r="O28" s="107"/>
      <c r="P28" s="107"/>
      <c r="Q28" s="107"/>
      <c r="R28" s="113"/>
      <c r="S28" s="74"/>
      <c r="T28" s="48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49"/>
      <c r="GG28" s="49"/>
      <c r="GH28" s="49"/>
      <c r="GI28" s="49"/>
      <c r="GJ28" s="49"/>
      <c r="GK28" s="49"/>
      <c r="GL28" s="49"/>
      <c r="GM28" s="49"/>
      <c r="GN28" s="49"/>
      <c r="GO28" s="49"/>
      <c r="GP28" s="49"/>
      <c r="GQ28" s="49"/>
      <c r="GR28" s="49"/>
      <c r="GS28" s="49"/>
      <c r="GT28" s="49"/>
      <c r="GU28" s="49"/>
      <c r="GV28" s="49"/>
      <c r="GW28" s="49"/>
      <c r="GX28" s="49"/>
      <c r="GY28" s="49"/>
      <c r="GZ28" s="49"/>
      <c r="HA28" s="49"/>
      <c r="HB28" s="49"/>
      <c r="HC28" s="49"/>
      <c r="HD28" s="49"/>
      <c r="HE28" s="49"/>
      <c r="HF28" s="49"/>
      <c r="HG28" s="49"/>
      <c r="HH28" s="49"/>
      <c r="HI28" s="49"/>
      <c r="HJ28" s="49"/>
      <c r="HK28" s="49"/>
      <c r="HL28" s="49"/>
      <c r="HM28" s="49"/>
      <c r="HN28" s="49"/>
      <c r="HO28" s="49"/>
      <c r="HP28" s="49"/>
      <c r="HQ28" s="49"/>
      <c r="HR28" s="49"/>
      <c r="HS28" s="49"/>
      <c r="HT28" s="49"/>
      <c r="HU28" s="49"/>
      <c r="HV28" s="49"/>
      <c r="HW28" s="49"/>
      <c r="HX28" s="49"/>
      <c r="HY28" s="49"/>
      <c r="HZ28" s="49"/>
      <c r="IA28" s="49"/>
      <c r="IB28" s="49"/>
      <c r="IC28" s="49"/>
      <c r="ID28" s="49"/>
      <c r="IE28" s="49"/>
      <c r="IF28" s="49"/>
      <c r="IG28" s="49"/>
      <c r="IH28" s="49"/>
      <c r="II28" s="49"/>
      <c r="IJ28" s="49"/>
      <c r="IK28" s="49"/>
      <c r="IL28" s="49"/>
      <c r="IM28" s="49"/>
      <c r="IN28" s="49"/>
      <c r="IO28" s="49"/>
      <c r="IP28" s="49"/>
      <c r="IQ28" s="49"/>
      <c r="IR28" s="49"/>
      <c r="IS28" s="49"/>
      <c r="IT28" s="49"/>
      <c r="IU28" s="49"/>
      <c r="IV28" s="49"/>
      <c r="IW28" s="49"/>
      <c r="IX28" s="49"/>
      <c r="IY28" s="49"/>
      <c r="IZ28" s="49"/>
      <c r="JA28" s="49"/>
      <c r="JB28" s="49"/>
    </row>
    <row r="29" spans="1:262">
      <c r="A29" s="109">
        <v>2.5</v>
      </c>
      <c r="B29" s="99" t="s">
        <v>62</v>
      </c>
      <c r="C29" s="100"/>
      <c r="D29" s="100"/>
      <c r="E29" s="100"/>
      <c r="F29" s="103"/>
      <c r="G29" s="100"/>
      <c r="H29" s="103"/>
      <c r="I29" s="104"/>
      <c r="J29" s="104"/>
      <c r="K29" s="77"/>
      <c r="L29" s="101"/>
      <c r="M29" s="102"/>
      <c r="N29" s="102"/>
      <c r="O29" s="102"/>
      <c r="P29" s="102"/>
      <c r="Q29" s="102"/>
      <c r="R29" s="100"/>
      <c r="S29" s="105"/>
      <c r="T29" s="48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  <c r="FW29" s="49"/>
      <c r="FX29" s="49"/>
      <c r="FY29" s="49"/>
      <c r="FZ29" s="49"/>
      <c r="GA29" s="49"/>
      <c r="GB29" s="49"/>
      <c r="GC29" s="49"/>
      <c r="GD29" s="49"/>
      <c r="GE29" s="49"/>
      <c r="GF29" s="49"/>
      <c r="GG29" s="49"/>
      <c r="GH29" s="49"/>
      <c r="GI29" s="49"/>
      <c r="GJ29" s="49"/>
      <c r="GK29" s="49"/>
      <c r="GL29" s="49"/>
      <c r="GM29" s="49"/>
      <c r="GN29" s="49"/>
      <c r="GO29" s="49"/>
      <c r="GP29" s="49"/>
      <c r="GQ29" s="49"/>
      <c r="GR29" s="49"/>
      <c r="GS29" s="49"/>
      <c r="GT29" s="49"/>
      <c r="GU29" s="49"/>
      <c r="GV29" s="49"/>
      <c r="GW29" s="49"/>
      <c r="GX29" s="49"/>
      <c r="GY29" s="49"/>
      <c r="GZ29" s="49"/>
      <c r="HA29" s="49"/>
      <c r="HB29" s="49"/>
      <c r="HC29" s="49"/>
      <c r="HD29" s="49"/>
      <c r="HE29" s="49"/>
      <c r="HF29" s="49"/>
      <c r="HG29" s="49"/>
      <c r="HH29" s="49"/>
      <c r="HI29" s="49"/>
      <c r="HJ29" s="49"/>
      <c r="HK29" s="49"/>
      <c r="HL29" s="49"/>
      <c r="HM29" s="49"/>
      <c r="HN29" s="49"/>
      <c r="HO29" s="49"/>
      <c r="HP29" s="49"/>
      <c r="HQ29" s="49"/>
      <c r="HR29" s="49"/>
      <c r="HS29" s="49"/>
      <c r="HT29" s="49"/>
      <c r="HU29" s="49"/>
      <c r="HV29" s="49"/>
      <c r="HW29" s="49"/>
      <c r="HX29" s="49"/>
      <c r="HY29" s="49"/>
      <c r="HZ29" s="49"/>
      <c r="IA29" s="49"/>
      <c r="IB29" s="49"/>
      <c r="IC29" s="49"/>
      <c r="ID29" s="49"/>
      <c r="IE29" s="49"/>
      <c r="IF29" s="49"/>
      <c r="IG29" s="49"/>
      <c r="IH29" s="49"/>
      <c r="II29" s="49"/>
      <c r="IJ29" s="49"/>
      <c r="IK29" s="49"/>
      <c r="IL29" s="49"/>
      <c r="IM29" s="49"/>
      <c r="IN29" s="49"/>
      <c r="IO29" s="49"/>
      <c r="IP29" s="49"/>
      <c r="IQ29" s="49"/>
      <c r="IR29" s="49"/>
      <c r="IS29" s="49"/>
      <c r="IT29" s="49"/>
      <c r="IU29" s="49"/>
      <c r="IV29" s="49"/>
      <c r="IW29" s="49"/>
      <c r="IX29" s="49"/>
      <c r="IY29" s="49"/>
      <c r="IZ29" s="49"/>
      <c r="JA29" s="49"/>
      <c r="JB29" s="49"/>
    </row>
    <row r="30" ht="23" spans="1:262">
      <c r="A30" s="110" t="s">
        <v>63</v>
      </c>
      <c r="B30" s="65" t="s">
        <v>64</v>
      </c>
      <c r="C30" s="65" t="s">
        <v>65</v>
      </c>
      <c r="D30" s="67"/>
      <c r="E30" s="68"/>
      <c r="F30" s="73">
        <v>2</v>
      </c>
      <c r="G30" s="68"/>
      <c r="H30" s="69"/>
      <c r="I30" s="71"/>
      <c r="J30" s="71"/>
      <c r="K30" s="72"/>
      <c r="L30" s="73">
        <v>15</v>
      </c>
      <c r="M30" s="107">
        <v>46235</v>
      </c>
      <c r="N30" s="107">
        <v>46295</v>
      </c>
      <c r="O30" s="107"/>
      <c r="P30" s="107"/>
      <c r="Q30" s="107"/>
      <c r="R30" s="113"/>
      <c r="S30" s="74"/>
      <c r="T30" s="48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N30" s="49"/>
      <c r="IO30" s="49"/>
      <c r="IP30" s="49"/>
      <c r="IQ30" s="49"/>
      <c r="IR30" s="49"/>
      <c r="IS30" s="49"/>
      <c r="IT30" s="49"/>
      <c r="IU30" s="49"/>
      <c r="IV30" s="49"/>
      <c r="IW30" s="49"/>
      <c r="IX30" s="49"/>
      <c r="IY30" s="49"/>
      <c r="IZ30" s="49"/>
      <c r="JA30" s="49"/>
      <c r="JB30" s="49"/>
    </row>
    <row r="31" ht="34.5" spans="1:262">
      <c r="A31" s="110" t="s">
        <v>66</v>
      </c>
      <c r="B31" s="65" t="s">
        <v>67</v>
      </c>
      <c r="C31" s="65" t="s">
        <v>68</v>
      </c>
      <c r="D31" s="67"/>
      <c r="E31" s="68"/>
      <c r="F31" s="73">
        <v>3</v>
      </c>
      <c r="G31" s="68"/>
      <c r="H31" s="69"/>
      <c r="I31" s="71"/>
      <c r="J31" s="71"/>
      <c r="K31" s="72"/>
      <c r="L31" s="73">
        <v>5</v>
      </c>
      <c r="M31" s="107">
        <v>46235</v>
      </c>
      <c r="N31" s="107">
        <v>46295</v>
      </c>
      <c r="O31" s="107"/>
      <c r="P31" s="107"/>
      <c r="Q31" s="107"/>
      <c r="R31" s="113"/>
      <c r="S31" s="74"/>
      <c r="T31" s="48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49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49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49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49"/>
      <c r="HE31" s="49"/>
      <c r="HF31" s="49"/>
      <c r="HG31" s="49"/>
      <c r="HH31" s="49"/>
      <c r="HI31" s="49"/>
      <c r="HJ31" s="49"/>
      <c r="HK31" s="49"/>
      <c r="HL31" s="49"/>
      <c r="HM31" s="49"/>
      <c r="HN31" s="49"/>
      <c r="HO31" s="49"/>
      <c r="HP31" s="49"/>
      <c r="HQ31" s="49"/>
      <c r="HR31" s="49"/>
      <c r="HS31" s="49"/>
      <c r="HT31" s="49"/>
      <c r="HU31" s="49"/>
      <c r="HV31" s="49"/>
      <c r="HW31" s="49"/>
      <c r="HX31" s="49"/>
      <c r="HY31" s="49"/>
      <c r="HZ31" s="49"/>
      <c r="IA31" s="49"/>
      <c r="IB31" s="49"/>
      <c r="IC31" s="49"/>
      <c r="ID31" s="49"/>
      <c r="IE31" s="49"/>
      <c r="IF31" s="49"/>
      <c r="IG31" s="49"/>
      <c r="IH31" s="49"/>
      <c r="II31" s="49"/>
      <c r="IJ31" s="49"/>
      <c r="IK31" s="49"/>
      <c r="IL31" s="49"/>
      <c r="IM31" s="49"/>
      <c r="IN31" s="49"/>
      <c r="IO31" s="49"/>
      <c r="IP31" s="49"/>
      <c r="IQ31" s="49"/>
      <c r="IR31" s="49"/>
      <c r="IS31" s="49"/>
      <c r="IT31" s="49"/>
      <c r="IU31" s="49"/>
      <c r="IV31" s="49"/>
      <c r="IW31" s="49"/>
      <c r="IX31" s="49"/>
      <c r="IY31" s="49"/>
      <c r="IZ31" s="49"/>
      <c r="JA31" s="49"/>
      <c r="JB31" s="49"/>
    </row>
    <row r="32" ht="23" spans="1:262">
      <c r="A32" s="110" t="s">
        <v>69</v>
      </c>
      <c r="B32" s="65" t="s">
        <v>70</v>
      </c>
      <c r="C32" s="65" t="s">
        <v>71</v>
      </c>
      <c r="D32" s="67"/>
      <c r="E32" s="68"/>
      <c r="F32" s="73">
        <v>2</v>
      </c>
      <c r="G32" s="68"/>
      <c r="H32" s="69"/>
      <c r="I32" s="71"/>
      <c r="J32" s="71"/>
      <c r="K32" s="72"/>
      <c r="L32" s="73">
        <v>4</v>
      </c>
      <c r="M32" s="107">
        <v>46235</v>
      </c>
      <c r="N32" s="107">
        <v>46295</v>
      </c>
      <c r="O32" s="107"/>
      <c r="P32" s="107"/>
      <c r="Q32" s="107"/>
      <c r="R32" s="113"/>
      <c r="S32" s="74"/>
      <c r="T32" s="48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49"/>
      <c r="HO32" s="49"/>
      <c r="HP32" s="49"/>
      <c r="HQ32" s="49"/>
      <c r="HR32" s="49"/>
      <c r="HS32" s="49"/>
      <c r="HT32" s="49"/>
      <c r="HU32" s="49"/>
      <c r="HV32" s="49"/>
      <c r="HW32" s="49"/>
      <c r="HX32" s="49"/>
      <c r="HY32" s="49"/>
      <c r="HZ32" s="49"/>
      <c r="IA32" s="49"/>
      <c r="IB32" s="49"/>
      <c r="IC32" s="49"/>
      <c r="ID32" s="49"/>
      <c r="IE32" s="49"/>
      <c r="IF32" s="49"/>
      <c r="IG32" s="49"/>
      <c r="IH32" s="49"/>
      <c r="II32" s="49"/>
      <c r="IJ32" s="49"/>
      <c r="IK32" s="49"/>
      <c r="IL32" s="49"/>
      <c r="IM32" s="49"/>
      <c r="IN32" s="49"/>
      <c r="IO32" s="49"/>
      <c r="IP32" s="49"/>
      <c r="IQ32" s="49"/>
      <c r="IR32" s="49"/>
      <c r="IS32" s="49"/>
      <c r="IT32" s="49"/>
      <c r="IU32" s="49"/>
      <c r="IV32" s="49"/>
      <c r="IW32" s="49"/>
      <c r="IX32" s="49"/>
      <c r="IY32" s="49"/>
      <c r="IZ32" s="49"/>
      <c r="JA32" s="49"/>
      <c r="JB32" s="49"/>
    </row>
    <row r="33" ht="21" spans="1:262">
      <c r="A33" s="109">
        <v>2.6</v>
      </c>
      <c r="B33" s="99" t="s">
        <v>72</v>
      </c>
      <c r="C33" s="114" t="s">
        <v>73</v>
      </c>
      <c r="D33" s="100"/>
      <c r="E33" s="100"/>
      <c r="F33" s="103"/>
      <c r="G33" s="100"/>
      <c r="H33" s="103"/>
      <c r="I33" s="104"/>
      <c r="J33" s="104"/>
      <c r="K33" s="77"/>
      <c r="L33" s="101"/>
      <c r="M33" s="102"/>
      <c r="N33" s="102"/>
      <c r="O33" s="102"/>
      <c r="P33" s="102"/>
      <c r="Q33" s="102"/>
      <c r="R33" s="100"/>
      <c r="S33" s="105"/>
      <c r="T33" s="48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  <c r="II33" s="49"/>
      <c r="IJ33" s="49"/>
      <c r="IK33" s="49"/>
      <c r="IL33" s="49"/>
      <c r="IM33" s="49"/>
      <c r="IN33" s="49"/>
      <c r="IO33" s="49"/>
      <c r="IP33" s="49"/>
      <c r="IQ33" s="49"/>
      <c r="IR33" s="49"/>
      <c r="IS33" s="49"/>
      <c r="IT33" s="49"/>
      <c r="IU33" s="49"/>
      <c r="IV33" s="49"/>
      <c r="IW33" s="49"/>
      <c r="IX33" s="49"/>
      <c r="IY33" s="49"/>
      <c r="IZ33" s="49"/>
      <c r="JA33" s="49"/>
      <c r="JB33" s="49"/>
    </row>
    <row r="34" spans="1:262">
      <c r="A34" s="110" t="s">
        <v>74</v>
      </c>
      <c r="B34" s="65" t="s">
        <v>75</v>
      </c>
      <c r="C34" s="65" t="s">
        <v>76</v>
      </c>
      <c r="D34" s="67"/>
      <c r="E34" s="68"/>
      <c r="F34" s="73">
        <v>1.5</v>
      </c>
      <c r="G34" s="68"/>
      <c r="H34" s="69"/>
      <c r="I34" s="71"/>
      <c r="J34" s="71"/>
      <c r="K34" s="72"/>
      <c r="L34" s="73">
        <v>5</v>
      </c>
      <c r="M34" s="107">
        <v>46235</v>
      </c>
      <c r="N34" s="107">
        <v>46295</v>
      </c>
      <c r="O34" s="107"/>
      <c r="P34" s="107"/>
      <c r="Q34" s="107"/>
      <c r="R34" s="113"/>
      <c r="S34" s="74"/>
      <c r="T34" s="48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  <c r="II34" s="49"/>
      <c r="IJ34" s="49"/>
      <c r="IK34" s="49"/>
      <c r="IL34" s="49"/>
      <c r="IM34" s="49"/>
      <c r="IN34" s="49"/>
      <c r="IO34" s="49"/>
      <c r="IP34" s="49"/>
      <c r="IQ34" s="49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49"/>
    </row>
    <row r="35" spans="1:262">
      <c r="A35" s="110" t="s">
        <v>77</v>
      </c>
      <c r="B35" s="65" t="s">
        <v>78</v>
      </c>
      <c r="C35" s="65" t="s">
        <v>79</v>
      </c>
      <c r="D35" s="67"/>
      <c r="E35" s="68"/>
      <c r="F35" s="73">
        <v>1.5</v>
      </c>
      <c r="G35" s="68"/>
      <c r="H35" s="69"/>
      <c r="I35" s="71"/>
      <c r="J35" s="71"/>
      <c r="K35" s="72"/>
      <c r="L35" s="73">
        <v>5</v>
      </c>
      <c r="M35" s="107">
        <v>46235</v>
      </c>
      <c r="N35" s="107">
        <v>46295</v>
      </c>
      <c r="O35" s="107"/>
      <c r="P35" s="107"/>
      <c r="Q35" s="107"/>
      <c r="R35" s="113"/>
      <c r="S35" s="74"/>
      <c r="T35" s="48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49"/>
      <c r="HO35" s="49"/>
      <c r="HP35" s="49"/>
      <c r="HQ35" s="49"/>
      <c r="HR35" s="49"/>
      <c r="HS35" s="49"/>
      <c r="HT35" s="49"/>
      <c r="HU35" s="49"/>
      <c r="HV35" s="49"/>
      <c r="HW35" s="49"/>
      <c r="HX35" s="49"/>
      <c r="HY35" s="49"/>
      <c r="HZ35" s="49"/>
      <c r="IA35" s="49"/>
      <c r="IB35" s="49"/>
      <c r="IC35" s="49"/>
      <c r="ID35" s="49"/>
      <c r="IE35" s="49"/>
      <c r="IF35" s="49"/>
      <c r="IG35" s="49"/>
      <c r="IH35" s="49"/>
      <c r="II35" s="49"/>
      <c r="IJ35" s="49"/>
      <c r="IK35" s="49"/>
      <c r="IL35" s="49"/>
      <c r="IM35" s="49"/>
      <c r="IN35" s="49"/>
      <c r="IO35" s="49"/>
      <c r="IP35" s="49"/>
      <c r="IQ35" s="49"/>
      <c r="IR35" s="49"/>
      <c r="IS35" s="49"/>
      <c r="IT35" s="49"/>
      <c r="IU35" s="49"/>
      <c r="IV35" s="49"/>
      <c r="IW35" s="49"/>
      <c r="IX35" s="49"/>
      <c r="IY35" s="49"/>
      <c r="IZ35" s="49"/>
      <c r="JA35" s="49"/>
      <c r="JB35" s="49"/>
    </row>
    <row r="36" spans="1:262">
      <c r="A36" s="110" t="s">
        <v>80</v>
      </c>
      <c r="B36" s="65" t="s">
        <v>81</v>
      </c>
      <c r="C36" s="65" t="s">
        <v>82</v>
      </c>
      <c r="D36" s="67"/>
      <c r="E36" s="68"/>
      <c r="F36" s="73">
        <v>1.5</v>
      </c>
      <c r="G36" s="68"/>
      <c r="H36" s="69"/>
      <c r="I36" s="71"/>
      <c r="J36" s="71"/>
      <c r="K36" s="72"/>
      <c r="L36" s="73">
        <v>5</v>
      </c>
      <c r="M36" s="107">
        <v>46235</v>
      </c>
      <c r="N36" s="107">
        <v>46295</v>
      </c>
      <c r="O36" s="107"/>
      <c r="P36" s="107"/>
      <c r="Q36" s="107"/>
      <c r="R36" s="113"/>
      <c r="S36" s="74"/>
      <c r="T36" s="48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  <c r="HI36" s="49"/>
      <c r="HJ36" s="49"/>
      <c r="HK36" s="49"/>
      <c r="HL36" s="49"/>
      <c r="HM36" s="49"/>
      <c r="HN36" s="49"/>
      <c r="HO36" s="49"/>
      <c r="HP36" s="49"/>
      <c r="HQ36" s="49"/>
      <c r="HR36" s="49"/>
      <c r="HS36" s="49"/>
      <c r="HT36" s="49"/>
      <c r="HU36" s="49"/>
      <c r="HV36" s="49"/>
      <c r="HW36" s="49"/>
      <c r="HX36" s="49"/>
      <c r="HY36" s="49"/>
      <c r="HZ36" s="49"/>
      <c r="IA36" s="49"/>
      <c r="IB36" s="49"/>
      <c r="IC36" s="49"/>
      <c r="ID36" s="49"/>
      <c r="IE36" s="49"/>
      <c r="IF36" s="49"/>
      <c r="IG36" s="49"/>
      <c r="IH36" s="49"/>
      <c r="II36" s="49"/>
      <c r="IJ36" s="49"/>
      <c r="IK36" s="49"/>
      <c r="IL36" s="49"/>
      <c r="IM36" s="49"/>
      <c r="IN36" s="49"/>
      <c r="IO36" s="49"/>
      <c r="IP36" s="49"/>
      <c r="IQ36" s="49"/>
      <c r="IR36" s="49"/>
      <c r="IS36" s="49"/>
      <c r="IT36" s="49"/>
      <c r="IU36" s="49"/>
      <c r="IV36" s="49"/>
      <c r="IW36" s="49"/>
      <c r="IX36" s="49"/>
      <c r="IY36" s="49"/>
      <c r="IZ36" s="49"/>
      <c r="JA36" s="49"/>
      <c r="JB36" s="49"/>
    </row>
    <row r="37" spans="1:262">
      <c r="A37" s="110" t="s">
        <v>83</v>
      </c>
      <c r="B37" s="65" t="s">
        <v>84</v>
      </c>
      <c r="C37" s="65" t="s">
        <v>85</v>
      </c>
      <c r="D37" s="67"/>
      <c r="E37" s="68"/>
      <c r="F37" s="73">
        <v>0.5</v>
      </c>
      <c r="G37" s="68"/>
      <c r="H37" s="69"/>
      <c r="I37" s="71"/>
      <c r="J37" s="71"/>
      <c r="K37" s="72"/>
      <c r="L37" s="73">
        <v>10</v>
      </c>
      <c r="M37" s="107">
        <v>46235</v>
      </c>
      <c r="N37" s="107">
        <v>46295</v>
      </c>
      <c r="O37" s="107"/>
      <c r="P37" s="107"/>
      <c r="Q37" s="107"/>
      <c r="R37" s="113"/>
      <c r="S37" s="74"/>
      <c r="T37" s="48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G37" s="49"/>
      <c r="HH37" s="49"/>
      <c r="HI37" s="49"/>
      <c r="HJ37" s="49"/>
      <c r="HK37" s="49"/>
      <c r="HL37" s="49"/>
      <c r="HM37" s="49"/>
      <c r="HN37" s="49"/>
      <c r="HO37" s="49"/>
      <c r="HP37" s="49"/>
      <c r="HQ37" s="49"/>
      <c r="HR37" s="49"/>
      <c r="HS37" s="49"/>
      <c r="HT37" s="49"/>
      <c r="HU37" s="49"/>
      <c r="HV37" s="49"/>
      <c r="HW37" s="49"/>
      <c r="HX37" s="49"/>
      <c r="HY37" s="49"/>
      <c r="HZ37" s="49"/>
      <c r="IA37" s="49"/>
      <c r="IB37" s="49"/>
      <c r="IC37" s="49"/>
      <c r="ID37" s="49"/>
      <c r="IE37" s="49"/>
      <c r="IF37" s="49"/>
      <c r="IG37" s="49"/>
      <c r="IH37" s="49"/>
      <c r="II37" s="49"/>
      <c r="IJ37" s="49"/>
      <c r="IK37" s="49"/>
      <c r="IL37" s="49"/>
      <c r="IM37" s="49"/>
      <c r="IN37" s="49"/>
      <c r="IO37" s="49"/>
      <c r="IP37" s="49"/>
      <c r="IQ37" s="49"/>
      <c r="IR37" s="49"/>
      <c r="IS37" s="49"/>
      <c r="IT37" s="49"/>
      <c r="IU37" s="49"/>
      <c r="IV37" s="49"/>
      <c r="IW37" s="49"/>
      <c r="IX37" s="49"/>
      <c r="IY37" s="49"/>
      <c r="IZ37" s="49"/>
      <c r="JA37" s="49"/>
      <c r="JB37" s="49"/>
    </row>
    <row r="38" spans="1:262">
      <c r="A38" s="110" t="s">
        <v>86</v>
      </c>
      <c r="B38" s="65" t="s">
        <v>87</v>
      </c>
      <c r="C38" s="65" t="s">
        <v>88</v>
      </c>
      <c r="D38" s="67"/>
      <c r="E38" s="68"/>
      <c r="F38" s="73">
        <v>0.5</v>
      </c>
      <c r="G38" s="68"/>
      <c r="H38" s="69"/>
      <c r="I38" s="71"/>
      <c r="J38" s="71"/>
      <c r="K38" s="72"/>
      <c r="L38" s="73">
        <v>4</v>
      </c>
      <c r="M38" s="107">
        <v>46235</v>
      </c>
      <c r="N38" s="107">
        <v>46295</v>
      </c>
      <c r="O38" s="107"/>
      <c r="P38" s="107"/>
      <c r="Q38" s="107"/>
      <c r="R38" s="113"/>
      <c r="S38" s="74"/>
      <c r="T38" s="48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49"/>
      <c r="GA38" s="49"/>
      <c r="GB38" s="49"/>
      <c r="GC38" s="49"/>
      <c r="GD38" s="49"/>
      <c r="GE38" s="49"/>
      <c r="GF38" s="49"/>
      <c r="GG38" s="49"/>
      <c r="GH38" s="49"/>
      <c r="GI38" s="49"/>
      <c r="GJ38" s="49"/>
      <c r="GK38" s="49"/>
      <c r="GL38" s="49"/>
      <c r="GM38" s="49"/>
      <c r="GN38" s="49"/>
      <c r="GO38" s="49"/>
      <c r="GP38" s="49"/>
      <c r="GQ38" s="49"/>
      <c r="GR38" s="49"/>
      <c r="GS38" s="49"/>
      <c r="GT38" s="49"/>
      <c r="GU38" s="49"/>
      <c r="GV38" s="49"/>
      <c r="GW38" s="49"/>
      <c r="GX38" s="49"/>
      <c r="GY38" s="49"/>
      <c r="GZ38" s="49"/>
      <c r="HA38" s="49"/>
      <c r="HB38" s="49"/>
      <c r="HC38" s="49"/>
      <c r="HD38" s="49"/>
      <c r="HE38" s="49"/>
      <c r="HF38" s="49"/>
      <c r="HG38" s="49"/>
      <c r="HH38" s="49"/>
      <c r="HI38" s="49"/>
      <c r="HJ38" s="49"/>
      <c r="HK38" s="49"/>
      <c r="HL38" s="49"/>
      <c r="HM38" s="49"/>
      <c r="HN38" s="49"/>
      <c r="HO38" s="49"/>
      <c r="HP38" s="49"/>
      <c r="HQ38" s="49"/>
      <c r="HR38" s="49"/>
      <c r="HS38" s="49"/>
      <c r="HT38" s="49"/>
      <c r="HU38" s="49"/>
      <c r="HV38" s="49"/>
      <c r="HW38" s="49"/>
      <c r="HX38" s="49"/>
      <c r="HY38" s="49"/>
      <c r="HZ38" s="49"/>
      <c r="IA38" s="49"/>
      <c r="IB38" s="49"/>
      <c r="IC38" s="49"/>
      <c r="ID38" s="49"/>
      <c r="IE38" s="49"/>
      <c r="IF38" s="49"/>
      <c r="IG38" s="49"/>
      <c r="IH38" s="49"/>
      <c r="II38" s="49"/>
      <c r="IJ38" s="49"/>
      <c r="IK38" s="49"/>
      <c r="IL38" s="49"/>
      <c r="IM38" s="49"/>
      <c r="IN38" s="49"/>
      <c r="IO38" s="49"/>
      <c r="IP38" s="49"/>
      <c r="IQ38" s="49"/>
      <c r="IR38" s="49"/>
      <c r="IS38" s="49"/>
      <c r="IT38" s="49"/>
      <c r="IU38" s="49"/>
      <c r="IV38" s="49"/>
      <c r="IW38" s="49"/>
      <c r="IX38" s="49"/>
      <c r="IY38" s="49"/>
      <c r="IZ38" s="49"/>
      <c r="JA38" s="49"/>
      <c r="JB38" s="49"/>
    </row>
    <row r="39" spans="1:262">
      <c r="A39" s="59">
        <v>3</v>
      </c>
      <c r="B39" s="75" t="s">
        <v>89</v>
      </c>
      <c r="C39" s="61"/>
      <c r="D39" s="61"/>
      <c r="E39" s="61"/>
      <c r="F39" s="62"/>
      <c r="G39" s="61"/>
      <c r="H39" s="62"/>
      <c r="I39" s="76"/>
      <c r="J39" s="76"/>
      <c r="K39" s="77"/>
      <c r="L39" s="78"/>
      <c r="M39" s="115"/>
      <c r="N39" s="115"/>
      <c r="O39" s="115"/>
      <c r="P39" s="115"/>
      <c r="Q39" s="115"/>
      <c r="R39" s="61"/>
      <c r="S39" s="64"/>
      <c r="T39" s="48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49"/>
      <c r="GA39" s="49"/>
      <c r="GB39" s="49"/>
      <c r="GC39" s="49"/>
      <c r="GD39" s="49"/>
      <c r="GE39" s="49"/>
      <c r="GF39" s="49"/>
      <c r="GG39" s="49"/>
      <c r="GH39" s="49"/>
      <c r="GI39" s="49"/>
      <c r="GJ39" s="49"/>
      <c r="GK39" s="49"/>
      <c r="GL39" s="49"/>
      <c r="GM39" s="49"/>
      <c r="GN39" s="49"/>
      <c r="GO39" s="49"/>
      <c r="GP39" s="49"/>
      <c r="GQ39" s="49"/>
      <c r="GR39" s="49"/>
      <c r="GS39" s="49"/>
      <c r="GT39" s="49"/>
      <c r="GU39" s="49"/>
      <c r="GV39" s="49"/>
      <c r="GW39" s="49"/>
      <c r="GX39" s="49"/>
      <c r="GY39" s="49"/>
      <c r="GZ39" s="49"/>
      <c r="HA39" s="49"/>
      <c r="HB39" s="49"/>
      <c r="HC39" s="49"/>
      <c r="HD39" s="49"/>
      <c r="HE39" s="49"/>
      <c r="HF39" s="49"/>
      <c r="HG39" s="49"/>
      <c r="HH39" s="49"/>
      <c r="HI39" s="49"/>
      <c r="HJ39" s="49"/>
      <c r="HK39" s="49"/>
      <c r="HL39" s="49"/>
      <c r="HM39" s="49"/>
      <c r="HN39" s="49"/>
      <c r="HO39" s="49"/>
      <c r="HP39" s="49"/>
      <c r="HQ39" s="49"/>
      <c r="HR39" s="49"/>
      <c r="HS39" s="49"/>
      <c r="HT39" s="49"/>
      <c r="HU39" s="49"/>
      <c r="HV39" s="49"/>
      <c r="HW39" s="49"/>
      <c r="HX39" s="49"/>
      <c r="HY39" s="49"/>
      <c r="HZ39" s="49"/>
      <c r="IA39" s="49"/>
      <c r="IB39" s="49"/>
      <c r="IC39" s="49"/>
      <c r="ID39" s="49"/>
      <c r="IE39" s="49"/>
      <c r="IF39" s="49"/>
      <c r="IG39" s="49"/>
      <c r="IH39" s="49"/>
      <c r="II39" s="49"/>
      <c r="IJ39" s="49"/>
      <c r="IK39" s="49"/>
      <c r="IL39" s="49"/>
      <c r="IM39" s="49"/>
      <c r="IN39" s="49"/>
      <c r="IO39" s="49"/>
      <c r="IP39" s="49"/>
      <c r="IQ39" s="49"/>
      <c r="IR39" s="49"/>
      <c r="IS39" s="49"/>
      <c r="IT39" s="49"/>
      <c r="IU39" s="49"/>
      <c r="IV39" s="49"/>
      <c r="IW39" s="49"/>
      <c r="IX39" s="49"/>
      <c r="IY39" s="49"/>
      <c r="IZ39" s="49"/>
      <c r="JA39" s="49"/>
      <c r="JB39" s="49"/>
    </row>
    <row r="40" spans="1:262">
      <c r="A40" s="109">
        <v>3.1</v>
      </c>
      <c r="B40" s="100" t="s">
        <v>90</v>
      </c>
      <c r="C40" s="100"/>
      <c r="D40" s="100"/>
      <c r="E40" s="100"/>
      <c r="F40" s="103"/>
      <c r="G40" s="100"/>
      <c r="H40" s="103"/>
      <c r="I40" s="104"/>
      <c r="J40" s="104"/>
      <c r="K40" s="77"/>
      <c r="L40" s="101"/>
      <c r="M40" s="102"/>
      <c r="N40" s="102"/>
      <c r="O40" s="102"/>
      <c r="P40" s="102"/>
      <c r="Q40" s="102"/>
      <c r="R40" s="100"/>
      <c r="S40" s="105"/>
      <c r="T40" s="48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9"/>
      <c r="GO40" s="49"/>
      <c r="GP40" s="49"/>
      <c r="GQ40" s="49"/>
      <c r="GR40" s="49"/>
      <c r="GS40" s="49"/>
      <c r="GT40" s="49"/>
      <c r="GU40" s="49"/>
      <c r="GV40" s="49"/>
      <c r="GW40" s="49"/>
      <c r="GX40" s="49"/>
      <c r="GY40" s="49"/>
      <c r="GZ40" s="49"/>
      <c r="HA40" s="49"/>
      <c r="HB40" s="49"/>
      <c r="HC40" s="49"/>
      <c r="HD40" s="49"/>
      <c r="HE40" s="49"/>
      <c r="HF40" s="49"/>
      <c r="HG40" s="49"/>
      <c r="HH40" s="49"/>
      <c r="HI40" s="49"/>
      <c r="HJ40" s="49"/>
      <c r="HK40" s="49"/>
      <c r="HL40" s="49"/>
      <c r="HM40" s="49"/>
      <c r="HN40" s="49"/>
      <c r="HO40" s="49"/>
      <c r="HP40" s="49"/>
      <c r="HQ40" s="49"/>
      <c r="HR40" s="49"/>
      <c r="HS40" s="49"/>
      <c r="HT40" s="49"/>
      <c r="HU40" s="49"/>
      <c r="HV40" s="49"/>
      <c r="HW40" s="49"/>
      <c r="HX40" s="49"/>
      <c r="HY40" s="49"/>
      <c r="HZ40" s="49"/>
      <c r="IA40" s="49"/>
      <c r="IB40" s="49"/>
      <c r="IC40" s="49"/>
      <c r="ID40" s="49"/>
      <c r="IE40" s="49"/>
      <c r="IF40" s="49"/>
      <c r="IG40" s="49"/>
      <c r="IH40" s="49"/>
      <c r="II40" s="49"/>
      <c r="IJ40" s="49"/>
      <c r="IK40" s="49"/>
      <c r="IL40" s="49"/>
      <c r="IM40" s="49"/>
      <c r="IN40" s="49"/>
      <c r="IO40" s="49"/>
      <c r="IP40" s="49"/>
      <c r="IQ40" s="49"/>
      <c r="IR40" s="49"/>
      <c r="IS40" s="49"/>
      <c r="IT40" s="49"/>
      <c r="IU40" s="49"/>
      <c r="IV40" s="49"/>
      <c r="IW40" s="49"/>
      <c r="IX40" s="49"/>
      <c r="IY40" s="49"/>
      <c r="IZ40" s="49"/>
      <c r="JA40" s="49"/>
      <c r="JB40" s="49"/>
    </row>
    <row r="41" spans="1:262">
      <c r="A41" s="110" t="s">
        <v>91</v>
      </c>
      <c r="B41" s="65" t="s">
        <v>92</v>
      </c>
      <c r="C41" s="65" t="s">
        <v>93</v>
      </c>
      <c r="D41" s="67"/>
      <c r="E41" s="68"/>
      <c r="F41" s="73">
        <v>0.5</v>
      </c>
      <c r="G41" s="68"/>
      <c r="H41" s="69"/>
      <c r="I41" s="71"/>
      <c r="J41" s="71"/>
      <c r="K41" s="72"/>
      <c r="L41" s="73">
        <v>4</v>
      </c>
      <c r="M41" s="107">
        <v>46235</v>
      </c>
      <c r="N41" s="107">
        <v>46295</v>
      </c>
      <c r="O41" s="107"/>
      <c r="P41" s="107"/>
      <c r="Q41" s="107"/>
      <c r="R41" s="113"/>
      <c r="S41" s="74"/>
      <c r="T41" s="48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  <c r="FW41" s="49"/>
      <c r="FX41" s="49"/>
      <c r="FY41" s="49"/>
      <c r="FZ41" s="49"/>
      <c r="GA41" s="49"/>
      <c r="GB41" s="49"/>
      <c r="GC41" s="49"/>
      <c r="GD41" s="49"/>
      <c r="GE41" s="49"/>
      <c r="GF41" s="49"/>
      <c r="GG41" s="49"/>
      <c r="GH41" s="49"/>
      <c r="GI41" s="49"/>
      <c r="GJ41" s="49"/>
      <c r="GK41" s="49"/>
      <c r="GL41" s="49"/>
      <c r="GM41" s="49"/>
      <c r="GN41" s="49"/>
      <c r="GO41" s="49"/>
      <c r="GP41" s="49"/>
      <c r="GQ41" s="49"/>
      <c r="GR41" s="49"/>
      <c r="GS41" s="49"/>
      <c r="GT41" s="49"/>
      <c r="GU41" s="49"/>
      <c r="GV41" s="49"/>
      <c r="GW41" s="49"/>
      <c r="GX41" s="49"/>
      <c r="GY41" s="49"/>
      <c r="GZ41" s="49"/>
      <c r="HA41" s="49"/>
      <c r="HB41" s="49"/>
      <c r="HC41" s="49"/>
      <c r="HD41" s="49"/>
      <c r="HE41" s="49"/>
      <c r="HF41" s="49"/>
      <c r="HG41" s="49"/>
      <c r="HH41" s="49"/>
      <c r="HI41" s="49"/>
      <c r="HJ41" s="49"/>
      <c r="HK41" s="49"/>
      <c r="HL41" s="49"/>
      <c r="HM41" s="49"/>
      <c r="HN41" s="49"/>
      <c r="HO41" s="49"/>
      <c r="HP41" s="49"/>
      <c r="HQ41" s="49"/>
      <c r="HR41" s="49"/>
      <c r="HS41" s="49"/>
      <c r="HT41" s="49"/>
      <c r="HU41" s="49"/>
      <c r="HV41" s="49"/>
      <c r="HW41" s="49"/>
      <c r="HX41" s="49"/>
      <c r="HY41" s="49"/>
      <c r="HZ41" s="49"/>
      <c r="IA41" s="49"/>
      <c r="IB41" s="49"/>
      <c r="IC41" s="49"/>
      <c r="ID41" s="49"/>
      <c r="IE41" s="49"/>
      <c r="IF41" s="49"/>
      <c r="IG41" s="49"/>
      <c r="IH41" s="49"/>
      <c r="II41" s="49"/>
      <c r="IJ41" s="49"/>
      <c r="IK41" s="49"/>
      <c r="IL41" s="49"/>
      <c r="IM41" s="49"/>
      <c r="IN41" s="49"/>
      <c r="IO41" s="49"/>
      <c r="IP41" s="49"/>
      <c r="IQ41" s="49"/>
      <c r="IR41" s="49"/>
      <c r="IS41" s="49"/>
      <c r="IT41" s="49"/>
      <c r="IU41" s="49"/>
      <c r="IV41" s="49"/>
      <c r="IW41" s="49"/>
      <c r="IX41" s="49"/>
      <c r="IY41" s="49"/>
      <c r="IZ41" s="49"/>
      <c r="JA41" s="49"/>
      <c r="JB41" s="49"/>
    </row>
    <row r="42" ht="34.5" spans="1:262">
      <c r="A42" s="110" t="s">
        <v>94</v>
      </c>
      <c r="B42" s="65" t="s">
        <v>95</v>
      </c>
      <c r="C42" s="65" t="s">
        <v>96</v>
      </c>
      <c r="D42" s="67"/>
      <c r="E42" s="68"/>
      <c r="F42" s="73">
        <v>2</v>
      </c>
      <c r="G42" s="68"/>
      <c r="H42" s="69"/>
      <c r="I42" s="71"/>
      <c r="J42" s="71"/>
      <c r="K42" s="72"/>
      <c r="L42" s="73">
        <v>6</v>
      </c>
      <c r="M42" s="107">
        <v>46235</v>
      </c>
      <c r="N42" s="107">
        <v>46295</v>
      </c>
      <c r="O42" s="107"/>
      <c r="P42" s="107"/>
      <c r="Q42" s="107"/>
      <c r="R42" s="113"/>
      <c r="S42" s="74"/>
      <c r="T42" s="48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  <c r="FW42" s="49"/>
      <c r="FX42" s="49"/>
      <c r="FY42" s="49"/>
      <c r="FZ42" s="49"/>
      <c r="GA42" s="49"/>
      <c r="GB42" s="49"/>
      <c r="GC42" s="49"/>
      <c r="GD42" s="49"/>
      <c r="GE42" s="49"/>
      <c r="GF42" s="49"/>
      <c r="GG42" s="49"/>
      <c r="GH42" s="49"/>
      <c r="GI42" s="49"/>
      <c r="GJ42" s="49"/>
      <c r="GK42" s="49"/>
      <c r="GL42" s="49"/>
      <c r="GM42" s="49"/>
      <c r="GN42" s="49"/>
      <c r="GO42" s="49"/>
      <c r="GP42" s="49"/>
      <c r="GQ42" s="49"/>
      <c r="GR42" s="49"/>
      <c r="GS42" s="49"/>
      <c r="GT42" s="49"/>
      <c r="GU42" s="49"/>
      <c r="GV42" s="49"/>
      <c r="GW42" s="49"/>
      <c r="GX42" s="49"/>
      <c r="GY42" s="49"/>
      <c r="GZ42" s="49"/>
      <c r="HA42" s="49"/>
      <c r="HB42" s="49"/>
      <c r="HC42" s="49"/>
      <c r="HD42" s="49"/>
      <c r="HE42" s="49"/>
      <c r="HF42" s="49"/>
      <c r="HG42" s="49"/>
      <c r="HH42" s="49"/>
      <c r="HI42" s="49"/>
      <c r="HJ42" s="49"/>
      <c r="HK42" s="49"/>
      <c r="HL42" s="49"/>
      <c r="HM42" s="49"/>
      <c r="HN42" s="49"/>
      <c r="HO42" s="49"/>
      <c r="HP42" s="49"/>
      <c r="HQ42" s="49"/>
      <c r="HR42" s="49"/>
      <c r="HS42" s="49"/>
      <c r="HT42" s="49"/>
      <c r="HU42" s="49"/>
      <c r="HV42" s="49"/>
      <c r="HW42" s="49"/>
      <c r="HX42" s="49"/>
      <c r="HY42" s="49"/>
      <c r="HZ42" s="49"/>
      <c r="IA42" s="49"/>
      <c r="IB42" s="49"/>
      <c r="IC42" s="49"/>
      <c r="ID42" s="49"/>
      <c r="IE42" s="49"/>
      <c r="IF42" s="49"/>
      <c r="IG42" s="49"/>
      <c r="IH42" s="49"/>
      <c r="II42" s="49"/>
      <c r="IJ42" s="49"/>
      <c r="IK42" s="49"/>
      <c r="IL42" s="49"/>
      <c r="IM42" s="49"/>
      <c r="IN42" s="49"/>
      <c r="IO42" s="49"/>
      <c r="IP42" s="49"/>
      <c r="IQ42" s="49"/>
      <c r="IR42" s="49"/>
      <c r="IS42" s="49"/>
      <c r="IT42" s="49"/>
      <c r="IU42" s="49"/>
      <c r="IV42" s="49"/>
      <c r="IW42" s="49"/>
      <c r="IX42" s="49"/>
      <c r="IY42" s="49"/>
      <c r="IZ42" s="49"/>
      <c r="JA42" s="49"/>
      <c r="JB42" s="49"/>
    </row>
    <row r="43" spans="1:262">
      <c r="A43" s="110" t="s">
        <v>97</v>
      </c>
      <c r="B43" s="65" t="s">
        <v>98</v>
      </c>
      <c r="C43" s="65" t="s">
        <v>99</v>
      </c>
      <c r="D43" s="67"/>
      <c r="E43" s="68"/>
      <c r="F43" s="73">
        <v>0.5</v>
      </c>
      <c r="G43" s="68"/>
      <c r="H43" s="69"/>
      <c r="I43" s="71"/>
      <c r="J43" s="71"/>
      <c r="K43" s="72"/>
      <c r="L43" s="73">
        <v>1</v>
      </c>
      <c r="M43" s="107">
        <v>46235</v>
      </c>
      <c r="N43" s="107">
        <v>46295</v>
      </c>
      <c r="O43" s="107"/>
      <c r="P43" s="107"/>
      <c r="Q43" s="107"/>
      <c r="R43" s="113"/>
      <c r="S43" s="74"/>
      <c r="T43" s="48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J43" s="49"/>
      <c r="FK43" s="49"/>
      <c r="FL43" s="49"/>
      <c r="FM43" s="49"/>
      <c r="FN43" s="49"/>
      <c r="FO43" s="49"/>
      <c r="FP43" s="49"/>
      <c r="FQ43" s="49"/>
      <c r="FR43" s="49"/>
      <c r="FS43" s="49"/>
      <c r="FT43" s="49"/>
      <c r="FU43" s="49"/>
      <c r="FV43" s="49"/>
      <c r="FW43" s="49"/>
      <c r="FX43" s="49"/>
      <c r="FY43" s="49"/>
      <c r="FZ43" s="49"/>
      <c r="GA43" s="49"/>
      <c r="GB43" s="49"/>
      <c r="GC43" s="49"/>
      <c r="GD43" s="49"/>
      <c r="GE43" s="49"/>
      <c r="GF43" s="49"/>
      <c r="GG43" s="49"/>
      <c r="GH43" s="49"/>
      <c r="GI43" s="49"/>
      <c r="GJ43" s="49"/>
      <c r="GK43" s="49"/>
      <c r="GL43" s="49"/>
      <c r="GM43" s="49"/>
      <c r="GN43" s="49"/>
      <c r="GO43" s="49"/>
      <c r="GP43" s="49"/>
      <c r="GQ43" s="49"/>
      <c r="GR43" s="49"/>
      <c r="GS43" s="49"/>
      <c r="GT43" s="49"/>
      <c r="GU43" s="49"/>
      <c r="GV43" s="49"/>
      <c r="GW43" s="49"/>
      <c r="GX43" s="49"/>
      <c r="GY43" s="49"/>
      <c r="GZ43" s="49"/>
      <c r="HA43" s="49"/>
      <c r="HB43" s="49"/>
      <c r="HC43" s="49"/>
      <c r="HD43" s="49"/>
      <c r="HE43" s="49"/>
      <c r="HF43" s="49"/>
      <c r="HG43" s="49"/>
      <c r="HH43" s="49"/>
      <c r="HI43" s="49"/>
      <c r="HJ43" s="49"/>
      <c r="HK43" s="49"/>
      <c r="HL43" s="49"/>
      <c r="HM43" s="49"/>
      <c r="HN43" s="49"/>
      <c r="HO43" s="49"/>
      <c r="HP43" s="49"/>
      <c r="HQ43" s="49"/>
      <c r="HR43" s="49"/>
      <c r="HS43" s="49"/>
      <c r="HT43" s="49"/>
      <c r="HU43" s="49"/>
      <c r="HV43" s="49"/>
      <c r="HW43" s="49"/>
      <c r="HX43" s="49"/>
      <c r="HY43" s="49"/>
      <c r="HZ43" s="49"/>
      <c r="IA43" s="49"/>
      <c r="IB43" s="49"/>
      <c r="IC43" s="49"/>
      <c r="ID43" s="49"/>
      <c r="IE43" s="49"/>
      <c r="IF43" s="49"/>
      <c r="IG43" s="49"/>
      <c r="IH43" s="49"/>
      <c r="II43" s="49"/>
      <c r="IJ43" s="49"/>
      <c r="IK43" s="49"/>
      <c r="IL43" s="49"/>
      <c r="IM43" s="49"/>
      <c r="IN43" s="49"/>
      <c r="IO43" s="49"/>
      <c r="IP43" s="49"/>
      <c r="IQ43" s="49"/>
      <c r="IR43" s="49"/>
      <c r="IS43" s="49"/>
      <c r="IT43" s="49"/>
      <c r="IU43" s="49"/>
      <c r="IV43" s="49"/>
      <c r="IW43" s="49"/>
      <c r="IX43" s="49"/>
      <c r="IY43" s="49"/>
      <c r="IZ43" s="49"/>
      <c r="JA43" s="49"/>
      <c r="JB43" s="49"/>
    </row>
    <row r="44" spans="1:262">
      <c r="A44" s="109">
        <v>3.2</v>
      </c>
      <c r="B44" s="100" t="s">
        <v>100</v>
      </c>
      <c r="C44" s="100"/>
      <c r="D44" s="100"/>
      <c r="E44" s="100"/>
      <c r="F44" s="103"/>
      <c r="G44" s="100"/>
      <c r="H44" s="103"/>
      <c r="I44" s="104"/>
      <c r="J44" s="104"/>
      <c r="K44" s="77"/>
      <c r="L44" s="101"/>
      <c r="M44" s="102"/>
      <c r="N44" s="102"/>
      <c r="O44" s="102"/>
      <c r="P44" s="102"/>
      <c r="Q44" s="102"/>
      <c r="R44" s="100"/>
      <c r="S44" s="105"/>
      <c r="T44" s="48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  <c r="HI44" s="49"/>
      <c r="HJ44" s="49"/>
      <c r="HK44" s="49"/>
      <c r="HL44" s="49"/>
      <c r="HM44" s="49"/>
      <c r="HN44" s="49"/>
      <c r="HO44" s="49"/>
      <c r="HP44" s="49"/>
      <c r="HQ44" s="49"/>
      <c r="HR44" s="49"/>
      <c r="HS44" s="49"/>
      <c r="HT44" s="49"/>
      <c r="HU44" s="49"/>
      <c r="HV44" s="49"/>
      <c r="HW44" s="49"/>
      <c r="HX44" s="49"/>
      <c r="HY44" s="49"/>
      <c r="HZ44" s="49"/>
      <c r="IA44" s="49"/>
      <c r="IB44" s="49"/>
      <c r="IC44" s="49"/>
      <c r="ID44" s="49"/>
      <c r="IE44" s="49"/>
      <c r="IF44" s="49"/>
      <c r="IG44" s="49"/>
      <c r="IH44" s="49"/>
      <c r="II44" s="49"/>
      <c r="IJ44" s="49"/>
      <c r="IK44" s="49"/>
      <c r="IL44" s="49"/>
      <c r="IM44" s="49"/>
      <c r="IN44" s="49"/>
      <c r="IO44" s="49"/>
      <c r="IP44" s="49"/>
      <c r="IQ44" s="49"/>
      <c r="IR44" s="49"/>
      <c r="IS44" s="49"/>
      <c r="IT44" s="49"/>
      <c r="IU44" s="49"/>
      <c r="IV44" s="49"/>
      <c r="IW44" s="49"/>
      <c r="IX44" s="49"/>
      <c r="IY44" s="49"/>
      <c r="IZ44" s="49"/>
      <c r="JA44" s="49"/>
      <c r="JB44" s="49"/>
    </row>
    <row r="45" ht="46" spans="1:262">
      <c r="A45" s="110" t="s">
        <v>101</v>
      </c>
      <c r="B45" s="65" t="s">
        <v>100</v>
      </c>
      <c r="C45" s="65" t="s">
        <v>181</v>
      </c>
      <c r="D45" s="67"/>
      <c r="E45" s="68"/>
      <c r="F45" s="73">
        <v>2</v>
      </c>
      <c r="G45" s="68"/>
      <c r="H45" s="69"/>
      <c r="I45" s="71"/>
      <c r="J45" s="71"/>
      <c r="K45" s="72"/>
      <c r="L45" s="73">
        <v>5</v>
      </c>
      <c r="M45" s="107">
        <v>46235</v>
      </c>
      <c r="N45" s="107">
        <v>46295</v>
      </c>
      <c r="O45" s="107"/>
      <c r="P45" s="107"/>
      <c r="Q45" s="107"/>
      <c r="R45" s="113"/>
      <c r="S45" s="74"/>
      <c r="T45" s="48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  <c r="FZ45" s="49"/>
      <c r="GA45" s="49"/>
      <c r="GB45" s="49"/>
      <c r="GC45" s="49"/>
      <c r="GD45" s="49"/>
      <c r="GE45" s="49"/>
      <c r="GF45" s="49"/>
      <c r="GG45" s="49"/>
      <c r="GH45" s="49"/>
      <c r="GI45" s="49"/>
      <c r="GJ45" s="49"/>
      <c r="GK45" s="49"/>
      <c r="GL45" s="49"/>
      <c r="GM45" s="49"/>
      <c r="GN45" s="49"/>
      <c r="GO45" s="49"/>
      <c r="GP45" s="49"/>
      <c r="GQ45" s="49"/>
      <c r="GR45" s="49"/>
      <c r="GS45" s="49"/>
      <c r="GT45" s="49"/>
      <c r="GU45" s="49"/>
      <c r="GV45" s="49"/>
      <c r="GW45" s="49"/>
      <c r="GX45" s="49"/>
      <c r="GY45" s="49"/>
      <c r="GZ45" s="49"/>
      <c r="HA45" s="49"/>
      <c r="HB45" s="49"/>
      <c r="HC45" s="49"/>
      <c r="HD45" s="49"/>
      <c r="HE45" s="49"/>
      <c r="HF45" s="49"/>
      <c r="HG45" s="49"/>
      <c r="HH45" s="49"/>
      <c r="HI45" s="49"/>
      <c r="HJ45" s="49"/>
      <c r="HK45" s="49"/>
      <c r="HL45" s="49"/>
      <c r="HM45" s="49"/>
      <c r="HN45" s="49"/>
      <c r="HO45" s="49"/>
      <c r="HP45" s="49"/>
      <c r="HQ45" s="49"/>
      <c r="HR45" s="49"/>
      <c r="HS45" s="49"/>
      <c r="HT45" s="49"/>
      <c r="HU45" s="49"/>
      <c r="HV45" s="49"/>
      <c r="HW45" s="49"/>
      <c r="HX45" s="49"/>
      <c r="HY45" s="49"/>
      <c r="HZ45" s="49"/>
      <c r="IA45" s="49"/>
      <c r="IB45" s="49"/>
      <c r="IC45" s="49"/>
      <c r="ID45" s="49"/>
      <c r="IE45" s="49"/>
      <c r="IF45" s="49"/>
      <c r="IG45" s="49"/>
      <c r="IH45" s="49"/>
      <c r="II45" s="49"/>
      <c r="IJ45" s="49"/>
      <c r="IK45" s="49"/>
      <c r="IL45" s="49"/>
      <c r="IM45" s="49"/>
      <c r="IN45" s="49"/>
      <c r="IO45" s="49"/>
      <c r="IP45" s="49"/>
      <c r="IQ45" s="49"/>
      <c r="IR45" s="49"/>
      <c r="IS45" s="49"/>
      <c r="IT45" s="49"/>
      <c r="IU45" s="49"/>
      <c r="IV45" s="49"/>
      <c r="IW45" s="49"/>
      <c r="IX45" s="49"/>
      <c r="IY45" s="49"/>
      <c r="IZ45" s="49"/>
      <c r="JA45" s="49"/>
      <c r="JB45" s="49"/>
    </row>
    <row r="46" ht="46" spans="1:262">
      <c r="A46" s="110" t="s">
        <v>103</v>
      </c>
      <c r="B46" s="65" t="s">
        <v>104</v>
      </c>
      <c r="C46" s="65" t="s">
        <v>182</v>
      </c>
      <c r="D46" s="67"/>
      <c r="E46" s="68"/>
      <c r="F46" s="73">
        <v>2</v>
      </c>
      <c r="G46" s="68"/>
      <c r="H46" s="69"/>
      <c r="I46" s="71"/>
      <c r="J46" s="71"/>
      <c r="K46" s="72"/>
      <c r="L46" s="73">
        <v>9</v>
      </c>
      <c r="M46" s="107">
        <v>46235</v>
      </c>
      <c r="N46" s="107">
        <v>46295</v>
      </c>
      <c r="O46" s="107"/>
      <c r="P46" s="107"/>
      <c r="Q46" s="107"/>
      <c r="R46" s="113"/>
      <c r="S46" s="74"/>
      <c r="T46" s="48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49"/>
      <c r="GA46" s="49"/>
      <c r="GB46" s="49"/>
      <c r="GC46" s="49"/>
      <c r="GD46" s="49"/>
      <c r="GE46" s="49"/>
      <c r="GF46" s="49"/>
      <c r="GG46" s="49"/>
      <c r="GH46" s="49"/>
      <c r="GI46" s="49"/>
      <c r="GJ46" s="49"/>
      <c r="GK46" s="49"/>
      <c r="GL46" s="49"/>
      <c r="GM46" s="49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9"/>
      <c r="GZ46" s="49"/>
      <c r="HA46" s="49"/>
      <c r="HB46" s="49"/>
      <c r="HC46" s="49"/>
      <c r="HD46" s="49"/>
      <c r="HE46" s="49"/>
      <c r="HF46" s="49"/>
      <c r="HG46" s="49"/>
      <c r="HH46" s="49"/>
      <c r="HI46" s="49"/>
      <c r="HJ46" s="49"/>
      <c r="HK46" s="49"/>
      <c r="HL46" s="49"/>
      <c r="HM46" s="49"/>
      <c r="HN46" s="49"/>
      <c r="HO46" s="49"/>
      <c r="HP46" s="49"/>
      <c r="HQ46" s="49"/>
      <c r="HR46" s="49"/>
      <c r="HS46" s="49"/>
      <c r="HT46" s="49"/>
      <c r="HU46" s="49"/>
      <c r="HV46" s="49"/>
      <c r="HW46" s="49"/>
      <c r="HX46" s="49"/>
      <c r="HY46" s="49"/>
      <c r="HZ46" s="49"/>
      <c r="IA46" s="49"/>
      <c r="IB46" s="49"/>
      <c r="IC46" s="49"/>
      <c r="ID46" s="49"/>
      <c r="IE46" s="49"/>
      <c r="IF46" s="49"/>
      <c r="IG46" s="49"/>
      <c r="IH46" s="49"/>
      <c r="II46" s="49"/>
      <c r="IJ46" s="49"/>
      <c r="IK46" s="49"/>
      <c r="IL46" s="49"/>
      <c r="IM46" s="49"/>
      <c r="IN46" s="49"/>
      <c r="IO46" s="49"/>
      <c r="IP46" s="49"/>
      <c r="IQ46" s="49"/>
      <c r="IR46" s="49"/>
      <c r="IS46" s="49"/>
      <c r="IT46" s="49"/>
      <c r="IU46" s="49"/>
      <c r="IV46" s="49"/>
      <c r="IW46" s="49"/>
      <c r="IX46" s="49"/>
      <c r="IY46" s="49"/>
      <c r="IZ46" s="49"/>
      <c r="JA46" s="49"/>
      <c r="JB46" s="49"/>
    </row>
    <row r="47" spans="1:262">
      <c r="A47" s="109">
        <v>3.3</v>
      </c>
      <c r="B47" s="116" t="s">
        <v>106</v>
      </c>
      <c r="C47" s="116"/>
      <c r="D47" s="100"/>
      <c r="E47" s="100"/>
      <c r="F47" s="103"/>
      <c r="G47" s="100"/>
      <c r="H47" s="103"/>
      <c r="I47" s="104"/>
      <c r="J47" s="104"/>
      <c r="K47" s="77"/>
      <c r="L47" s="101"/>
      <c r="M47" s="102"/>
      <c r="N47" s="102"/>
      <c r="O47" s="102"/>
      <c r="P47" s="102"/>
      <c r="Q47" s="102"/>
      <c r="R47" s="100"/>
      <c r="S47" s="105"/>
      <c r="T47" s="48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  <c r="FZ47" s="49"/>
      <c r="GA47" s="49"/>
      <c r="GB47" s="49"/>
      <c r="GC47" s="49"/>
      <c r="GD47" s="49"/>
      <c r="GE47" s="49"/>
      <c r="GF47" s="49"/>
      <c r="GG47" s="49"/>
      <c r="GH47" s="49"/>
      <c r="GI47" s="49"/>
      <c r="GJ47" s="49"/>
      <c r="GK47" s="49"/>
      <c r="GL47" s="49"/>
      <c r="GM47" s="49"/>
      <c r="GN47" s="49"/>
      <c r="GO47" s="49"/>
      <c r="GP47" s="49"/>
      <c r="GQ47" s="49"/>
      <c r="GR47" s="49"/>
      <c r="GS47" s="49"/>
      <c r="GT47" s="49"/>
      <c r="GU47" s="49"/>
      <c r="GV47" s="49"/>
      <c r="GW47" s="49"/>
      <c r="GX47" s="49"/>
      <c r="GY47" s="49"/>
      <c r="GZ47" s="49"/>
      <c r="HA47" s="49"/>
      <c r="HB47" s="49"/>
      <c r="HC47" s="49"/>
      <c r="HD47" s="49"/>
      <c r="HE47" s="49"/>
      <c r="HF47" s="49"/>
      <c r="HG47" s="49"/>
      <c r="HH47" s="49"/>
      <c r="HI47" s="49"/>
      <c r="HJ47" s="49"/>
      <c r="HK47" s="49"/>
      <c r="HL47" s="49"/>
      <c r="HM47" s="49"/>
      <c r="HN47" s="49"/>
      <c r="HO47" s="49"/>
      <c r="HP47" s="49"/>
      <c r="HQ47" s="49"/>
      <c r="HR47" s="49"/>
      <c r="HS47" s="49"/>
      <c r="HT47" s="49"/>
      <c r="HU47" s="49"/>
      <c r="HV47" s="49"/>
      <c r="HW47" s="49"/>
      <c r="HX47" s="49"/>
      <c r="HY47" s="49"/>
      <c r="HZ47" s="49"/>
      <c r="IA47" s="49"/>
      <c r="IB47" s="49"/>
      <c r="IC47" s="49"/>
      <c r="ID47" s="49"/>
      <c r="IE47" s="49"/>
      <c r="IF47" s="49"/>
      <c r="IG47" s="49"/>
      <c r="IH47" s="49"/>
      <c r="II47" s="49"/>
      <c r="IJ47" s="49"/>
      <c r="IK47" s="49"/>
      <c r="IL47" s="49"/>
      <c r="IM47" s="49"/>
      <c r="IN47" s="49"/>
      <c r="IO47" s="49"/>
      <c r="IP47" s="49"/>
      <c r="IQ47" s="49"/>
      <c r="IR47" s="49"/>
      <c r="IS47" s="49"/>
      <c r="IT47" s="49"/>
      <c r="IU47" s="49"/>
      <c r="IV47" s="49"/>
      <c r="IW47" s="49"/>
      <c r="IX47" s="49"/>
      <c r="IY47" s="49"/>
      <c r="IZ47" s="49"/>
      <c r="JA47" s="49"/>
      <c r="JB47" s="49"/>
    </row>
    <row r="48" spans="1:262">
      <c r="A48" s="110" t="s">
        <v>107</v>
      </c>
      <c r="B48" s="65" t="s">
        <v>108</v>
      </c>
      <c r="C48" s="65" t="s">
        <v>109</v>
      </c>
      <c r="D48" s="67"/>
      <c r="E48" s="68"/>
      <c r="F48" s="73">
        <v>0.5</v>
      </c>
      <c r="G48" s="68"/>
      <c r="H48" s="69"/>
      <c r="I48" s="71"/>
      <c r="J48" s="71"/>
      <c r="K48" s="72"/>
      <c r="L48" s="73">
        <v>2</v>
      </c>
      <c r="M48" s="107">
        <v>46235</v>
      </c>
      <c r="N48" s="107">
        <v>46295</v>
      </c>
      <c r="O48" s="107"/>
      <c r="P48" s="107"/>
      <c r="Q48" s="107"/>
      <c r="R48" s="113"/>
      <c r="S48" s="74"/>
      <c r="T48" s="48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  <c r="FW48" s="49"/>
      <c r="FX48" s="49"/>
      <c r="FY48" s="49"/>
      <c r="FZ48" s="49"/>
      <c r="GA48" s="49"/>
      <c r="GB48" s="49"/>
      <c r="GC48" s="49"/>
      <c r="GD48" s="49"/>
      <c r="GE48" s="49"/>
      <c r="GF48" s="49"/>
      <c r="GG48" s="49"/>
      <c r="GH48" s="49"/>
      <c r="GI48" s="49"/>
      <c r="GJ48" s="49"/>
      <c r="GK48" s="49"/>
      <c r="GL48" s="49"/>
      <c r="GM48" s="49"/>
      <c r="GN48" s="49"/>
      <c r="GO48" s="49"/>
      <c r="GP48" s="49"/>
      <c r="GQ48" s="49"/>
      <c r="GR48" s="49"/>
      <c r="GS48" s="49"/>
      <c r="GT48" s="49"/>
      <c r="GU48" s="49"/>
      <c r="GV48" s="49"/>
      <c r="GW48" s="49"/>
      <c r="GX48" s="49"/>
      <c r="GY48" s="49"/>
      <c r="GZ48" s="49"/>
      <c r="HA48" s="49"/>
      <c r="HB48" s="49"/>
      <c r="HC48" s="49"/>
      <c r="HD48" s="49"/>
      <c r="HE48" s="49"/>
      <c r="HF48" s="49"/>
      <c r="HG48" s="49"/>
      <c r="HH48" s="49"/>
      <c r="HI48" s="49"/>
      <c r="HJ48" s="49"/>
      <c r="HK48" s="49"/>
      <c r="HL48" s="49"/>
      <c r="HM48" s="49"/>
      <c r="HN48" s="49"/>
      <c r="HO48" s="49"/>
      <c r="HP48" s="49"/>
      <c r="HQ48" s="49"/>
      <c r="HR48" s="49"/>
      <c r="HS48" s="49"/>
      <c r="HT48" s="49"/>
      <c r="HU48" s="49"/>
      <c r="HV48" s="49"/>
      <c r="HW48" s="49"/>
      <c r="HX48" s="49"/>
      <c r="HY48" s="49"/>
      <c r="HZ48" s="49"/>
      <c r="IA48" s="49"/>
      <c r="IB48" s="49"/>
      <c r="IC48" s="49"/>
      <c r="ID48" s="49"/>
      <c r="IE48" s="49"/>
      <c r="IF48" s="49"/>
      <c r="IG48" s="49"/>
      <c r="IH48" s="49"/>
      <c r="II48" s="49"/>
      <c r="IJ48" s="49"/>
      <c r="IK48" s="49"/>
      <c r="IL48" s="49"/>
      <c r="IM48" s="49"/>
      <c r="IN48" s="49"/>
      <c r="IO48" s="49"/>
      <c r="IP48" s="49"/>
      <c r="IQ48" s="49"/>
      <c r="IR48" s="49"/>
      <c r="IS48" s="49"/>
      <c r="IT48" s="49"/>
      <c r="IU48" s="49"/>
      <c r="IV48" s="49"/>
      <c r="IW48" s="49"/>
      <c r="IX48" s="49"/>
      <c r="IY48" s="49"/>
      <c r="IZ48" s="49"/>
      <c r="JA48" s="49"/>
      <c r="JB48" s="49"/>
    </row>
    <row r="49" spans="1:262">
      <c r="A49" s="110" t="s">
        <v>110</v>
      </c>
      <c r="B49" s="65" t="s">
        <v>111</v>
      </c>
      <c r="C49" s="65" t="s">
        <v>112</v>
      </c>
      <c r="D49" s="67"/>
      <c r="E49" s="68"/>
      <c r="F49" s="73">
        <v>0.5</v>
      </c>
      <c r="G49" s="68"/>
      <c r="H49" s="69"/>
      <c r="I49" s="71"/>
      <c r="J49" s="71"/>
      <c r="K49" s="72"/>
      <c r="L49" s="73">
        <v>1</v>
      </c>
      <c r="M49" s="107">
        <v>46235</v>
      </c>
      <c r="N49" s="107">
        <v>46295</v>
      </c>
      <c r="O49" s="107"/>
      <c r="P49" s="107"/>
      <c r="Q49" s="107"/>
      <c r="R49" s="113"/>
      <c r="S49" s="74"/>
      <c r="T49" s="48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  <c r="DY49" s="49"/>
      <c r="DZ49" s="49"/>
      <c r="EA49" s="49"/>
      <c r="EB49" s="49"/>
      <c r="EC49" s="49"/>
      <c r="ED49" s="49"/>
      <c r="EE49" s="49"/>
      <c r="EF49" s="49"/>
      <c r="EG49" s="49"/>
      <c r="EH49" s="49"/>
      <c r="EI49" s="49"/>
      <c r="EJ49" s="49"/>
      <c r="EK49" s="49"/>
      <c r="EL49" s="49"/>
      <c r="EM49" s="49"/>
      <c r="EN49" s="49"/>
      <c r="EO49" s="49"/>
      <c r="EP49" s="49"/>
      <c r="EQ49" s="49"/>
      <c r="ER49" s="49"/>
      <c r="ES49" s="49"/>
      <c r="ET49" s="49"/>
      <c r="EU49" s="49"/>
      <c r="EV49" s="49"/>
      <c r="EW49" s="49"/>
      <c r="EX49" s="49"/>
      <c r="EY49" s="49"/>
      <c r="EZ49" s="49"/>
      <c r="FA49" s="49"/>
      <c r="FB49" s="49"/>
      <c r="FC49" s="49"/>
      <c r="FD49" s="49"/>
      <c r="FE49" s="49"/>
      <c r="FF49" s="49"/>
      <c r="FG49" s="49"/>
      <c r="FH49" s="49"/>
      <c r="FI49" s="49"/>
      <c r="FJ49" s="49"/>
      <c r="FK49" s="49"/>
      <c r="FL49" s="49"/>
      <c r="FM49" s="49"/>
      <c r="FN49" s="49"/>
      <c r="FO49" s="49"/>
      <c r="FP49" s="49"/>
      <c r="FQ49" s="49"/>
      <c r="FR49" s="49"/>
      <c r="FS49" s="49"/>
      <c r="FT49" s="49"/>
      <c r="FU49" s="49"/>
      <c r="FV49" s="49"/>
      <c r="FW49" s="49"/>
      <c r="FX49" s="49"/>
      <c r="FY49" s="49"/>
      <c r="FZ49" s="49"/>
      <c r="GA49" s="49"/>
      <c r="GB49" s="49"/>
      <c r="GC49" s="49"/>
      <c r="GD49" s="49"/>
      <c r="GE49" s="49"/>
      <c r="GF49" s="49"/>
      <c r="GG49" s="49"/>
      <c r="GH49" s="49"/>
      <c r="GI49" s="49"/>
      <c r="GJ49" s="49"/>
      <c r="GK49" s="49"/>
      <c r="GL49" s="49"/>
      <c r="GM49" s="49"/>
      <c r="GN49" s="49"/>
      <c r="GO49" s="49"/>
      <c r="GP49" s="49"/>
      <c r="GQ49" s="49"/>
      <c r="GR49" s="49"/>
      <c r="GS49" s="49"/>
      <c r="GT49" s="49"/>
      <c r="GU49" s="49"/>
      <c r="GV49" s="49"/>
      <c r="GW49" s="49"/>
      <c r="GX49" s="49"/>
      <c r="GY49" s="49"/>
      <c r="GZ49" s="49"/>
      <c r="HA49" s="49"/>
      <c r="HB49" s="49"/>
      <c r="HC49" s="49"/>
      <c r="HD49" s="49"/>
      <c r="HE49" s="49"/>
      <c r="HF49" s="49"/>
      <c r="HG49" s="49"/>
      <c r="HH49" s="49"/>
      <c r="HI49" s="49"/>
      <c r="HJ49" s="49"/>
      <c r="HK49" s="49"/>
      <c r="HL49" s="49"/>
      <c r="HM49" s="49"/>
      <c r="HN49" s="49"/>
      <c r="HO49" s="49"/>
      <c r="HP49" s="49"/>
      <c r="HQ49" s="49"/>
      <c r="HR49" s="49"/>
      <c r="HS49" s="49"/>
      <c r="HT49" s="49"/>
      <c r="HU49" s="49"/>
      <c r="HV49" s="49"/>
      <c r="HW49" s="49"/>
      <c r="HX49" s="49"/>
      <c r="HY49" s="49"/>
      <c r="HZ49" s="49"/>
      <c r="IA49" s="49"/>
      <c r="IB49" s="49"/>
      <c r="IC49" s="49"/>
      <c r="ID49" s="49"/>
      <c r="IE49" s="49"/>
      <c r="IF49" s="49"/>
      <c r="IG49" s="49"/>
      <c r="IH49" s="49"/>
      <c r="II49" s="49"/>
      <c r="IJ49" s="49"/>
      <c r="IK49" s="49"/>
      <c r="IL49" s="49"/>
      <c r="IM49" s="49"/>
      <c r="IN49" s="49"/>
      <c r="IO49" s="49"/>
      <c r="IP49" s="49"/>
      <c r="IQ49" s="49"/>
      <c r="IR49" s="49"/>
      <c r="IS49" s="49"/>
      <c r="IT49" s="49"/>
      <c r="IU49" s="49"/>
      <c r="IV49" s="49"/>
      <c r="IW49" s="49"/>
      <c r="IX49" s="49"/>
      <c r="IY49" s="49"/>
      <c r="IZ49" s="49"/>
      <c r="JA49" s="49"/>
      <c r="JB49" s="49"/>
    </row>
    <row r="50" ht="23" spans="1:262">
      <c r="A50" s="110" t="s">
        <v>113</v>
      </c>
      <c r="B50" s="65" t="s">
        <v>114</v>
      </c>
      <c r="C50" s="65" t="s">
        <v>115</v>
      </c>
      <c r="D50" s="67"/>
      <c r="E50" s="68"/>
      <c r="F50" s="73">
        <v>0.5</v>
      </c>
      <c r="G50" s="68"/>
      <c r="H50" s="69"/>
      <c r="I50" s="71"/>
      <c r="J50" s="71"/>
      <c r="K50" s="72"/>
      <c r="L50" s="73">
        <v>1</v>
      </c>
      <c r="M50" s="107">
        <v>46235</v>
      </c>
      <c r="N50" s="107">
        <v>46295</v>
      </c>
      <c r="O50" s="107"/>
      <c r="P50" s="107"/>
      <c r="Q50" s="107"/>
      <c r="R50" s="113"/>
      <c r="S50" s="74"/>
      <c r="T50" s="48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49"/>
      <c r="DZ50" s="49"/>
      <c r="EA50" s="49"/>
      <c r="EB50" s="49"/>
      <c r="EC50" s="49"/>
      <c r="ED50" s="49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49"/>
      <c r="FF50" s="49"/>
      <c r="FG50" s="49"/>
      <c r="FH50" s="49"/>
      <c r="FI50" s="49"/>
      <c r="FJ50" s="49"/>
      <c r="FK50" s="49"/>
      <c r="FL50" s="49"/>
      <c r="FM50" s="49"/>
      <c r="FN50" s="49"/>
      <c r="FO50" s="49"/>
      <c r="FP50" s="49"/>
      <c r="FQ50" s="49"/>
      <c r="FR50" s="49"/>
      <c r="FS50" s="49"/>
      <c r="FT50" s="49"/>
      <c r="FU50" s="49"/>
      <c r="FV50" s="49"/>
      <c r="FW50" s="49"/>
      <c r="FX50" s="49"/>
      <c r="FY50" s="49"/>
      <c r="FZ50" s="49"/>
      <c r="GA50" s="49"/>
      <c r="GB50" s="49"/>
      <c r="GC50" s="49"/>
      <c r="GD50" s="49"/>
      <c r="GE50" s="49"/>
      <c r="GF50" s="49"/>
      <c r="GG50" s="49"/>
      <c r="GH50" s="49"/>
      <c r="GI50" s="49"/>
      <c r="GJ50" s="49"/>
      <c r="GK50" s="49"/>
      <c r="GL50" s="49"/>
      <c r="GM50" s="49"/>
      <c r="GN50" s="49"/>
      <c r="GO50" s="49"/>
      <c r="GP50" s="49"/>
      <c r="GQ50" s="49"/>
      <c r="GR50" s="49"/>
      <c r="GS50" s="49"/>
      <c r="GT50" s="49"/>
      <c r="GU50" s="49"/>
      <c r="GV50" s="49"/>
      <c r="GW50" s="49"/>
      <c r="GX50" s="49"/>
      <c r="GY50" s="49"/>
      <c r="GZ50" s="49"/>
      <c r="HA50" s="49"/>
      <c r="HB50" s="49"/>
      <c r="HC50" s="49"/>
      <c r="HD50" s="49"/>
      <c r="HE50" s="49"/>
      <c r="HF50" s="49"/>
      <c r="HG50" s="49"/>
      <c r="HH50" s="49"/>
      <c r="HI50" s="49"/>
      <c r="HJ50" s="49"/>
      <c r="HK50" s="49"/>
      <c r="HL50" s="49"/>
      <c r="HM50" s="49"/>
      <c r="HN50" s="49"/>
      <c r="HO50" s="49"/>
      <c r="HP50" s="49"/>
      <c r="HQ50" s="49"/>
      <c r="HR50" s="49"/>
      <c r="HS50" s="49"/>
      <c r="HT50" s="49"/>
      <c r="HU50" s="49"/>
      <c r="HV50" s="49"/>
      <c r="HW50" s="49"/>
      <c r="HX50" s="49"/>
      <c r="HY50" s="49"/>
      <c r="HZ50" s="49"/>
      <c r="IA50" s="49"/>
      <c r="IB50" s="49"/>
      <c r="IC50" s="49"/>
      <c r="ID50" s="49"/>
      <c r="IE50" s="49"/>
      <c r="IF50" s="49"/>
      <c r="IG50" s="49"/>
      <c r="IH50" s="49"/>
      <c r="II50" s="49"/>
      <c r="IJ50" s="49"/>
      <c r="IK50" s="49"/>
      <c r="IL50" s="49"/>
      <c r="IM50" s="49"/>
      <c r="IN50" s="49"/>
      <c r="IO50" s="49"/>
      <c r="IP50" s="49"/>
      <c r="IQ50" s="49"/>
      <c r="IR50" s="49"/>
      <c r="IS50" s="49"/>
      <c r="IT50" s="49"/>
      <c r="IU50" s="49"/>
      <c r="IV50" s="49"/>
      <c r="IW50" s="49"/>
      <c r="IX50" s="49"/>
      <c r="IY50" s="49"/>
      <c r="IZ50" s="49"/>
      <c r="JA50" s="49"/>
      <c r="JB50" s="49"/>
    </row>
    <row r="51" spans="1:262">
      <c r="A51" s="110" t="s">
        <v>116</v>
      </c>
      <c r="B51" s="65" t="s">
        <v>117</v>
      </c>
      <c r="C51" s="65" t="s">
        <v>118</v>
      </c>
      <c r="D51" s="67"/>
      <c r="E51" s="68"/>
      <c r="F51" s="73">
        <v>0.5</v>
      </c>
      <c r="G51" s="68"/>
      <c r="H51" s="69"/>
      <c r="I51" s="71"/>
      <c r="J51" s="71"/>
      <c r="K51" s="72"/>
      <c r="L51" s="73">
        <v>1</v>
      </c>
      <c r="M51" s="107">
        <v>46235</v>
      </c>
      <c r="N51" s="107">
        <v>46295</v>
      </c>
      <c r="O51" s="107"/>
      <c r="P51" s="107"/>
      <c r="Q51" s="107"/>
      <c r="R51" s="113"/>
      <c r="S51" s="74"/>
      <c r="T51" s="48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  <c r="EW51" s="49"/>
      <c r="EX51" s="49"/>
      <c r="EY51" s="49"/>
      <c r="EZ51" s="49"/>
      <c r="FA51" s="49"/>
      <c r="FB51" s="49"/>
      <c r="FC51" s="49"/>
      <c r="FD51" s="49"/>
      <c r="FE51" s="49"/>
      <c r="FF51" s="49"/>
      <c r="FG51" s="49"/>
      <c r="FH51" s="49"/>
      <c r="FI51" s="49"/>
      <c r="FJ51" s="49"/>
      <c r="FK51" s="49"/>
      <c r="FL51" s="49"/>
      <c r="FM51" s="49"/>
      <c r="FN51" s="49"/>
      <c r="FO51" s="49"/>
      <c r="FP51" s="49"/>
      <c r="FQ51" s="49"/>
      <c r="FR51" s="49"/>
      <c r="FS51" s="49"/>
      <c r="FT51" s="49"/>
      <c r="FU51" s="49"/>
      <c r="FV51" s="49"/>
      <c r="FW51" s="49"/>
      <c r="FX51" s="49"/>
      <c r="FY51" s="49"/>
      <c r="FZ51" s="49"/>
      <c r="GA51" s="49"/>
      <c r="GB51" s="49"/>
      <c r="GC51" s="49"/>
      <c r="GD51" s="49"/>
      <c r="GE51" s="49"/>
      <c r="GF51" s="49"/>
      <c r="GG51" s="49"/>
      <c r="GH51" s="49"/>
      <c r="GI51" s="49"/>
      <c r="GJ51" s="49"/>
      <c r="GK51" s="49"/>
      <c r="GL51" s="49"/>
      <c r="GM51" s="49"/>
      <c r="GN51" s="49"/>
      <c r="GO51" s="49"/>
      <c r="GP51" s="49"/>
      <c r="GQ51" s="49"/>
      <c r="GR51" s="49"/>
      <c r="GS51" s="49"/>
      <c r="GT51" s="49"/>
      <c r="GU51" s="49"/>
      <c r="GV51" s="49"/>
      <c r="GW51" s="49"/>
      <c r="GX51" s="49"/>
      <c r="GY51" s="49"/>
      <c r="GZ51" s="49"/>
      <c r="HA51" s="49"/>
      <c r="HB51" s="49"/>
      <c r="HC51" s="49"/>
      <c r="HD51" s="49"/>
      <c r="HE51" s="49"/>
      <c r="HF51" s="49"/>
      <c r="HG51" s="49"/>
      <c r="HH51" s="49"/>
      <c r="HI51" s="49"/>
      <c r="HJ51" s="49"/>
      <c r="HK51" s="49"/>
      <c r="HL51" s="49"/>
      <c r="HM51" s="49"/>
      <c r="HN51" s="49"/>
      <c r="HO51" s="49"/>
      <c r="HP51" s="49"/>
      <c r="HQ51" s="49"/>
      <c r="HR51" s="49"/>
      <c r="HS51" s="49"/>
      <c r="HT51" s="49"/>
      <c r="HU51" s="49"/>
      <c r="HV51" s="49"/>
      <c r="HW51" s="49"/>
      <c r="HX51" s="49"/>
      <c r="HY51" s="49"/>
      <c r="HZ51" s="49"/>
      <c r="IA51" s="49"/>
      <c r="IB51" s="49"/>
      <c r="IC51" s="49"/>
      <c r="ID51" s="49"/>
      <c r="IE51" s="49"/>
      <c r="IF51" s="49"/>
      <c r="IG51" s="49"/>
      <c r="IH51" s="49"/>
      <c r="II51" s="49"/>
      <c r="IJ51" s="49"/>
      <c r="IK51" s="49"/>
      <c r="IL51" s="49"/>
      <c r="IM51" s="49"/>
      <c r="IN51" s="49"/>
      <c r="IO51" s="49"/>
      <c r="IP51" s="49"/>
      <c r="IQ51" s="49"/>
      <c r="IR51" s="49"/>
      <c r="IS51" s="49"/>
      <c r="IT51" s="49"/>
      <c r="IU51" s="49"/>
      <c r="IV51" s="49"/>
      <c r="IW51" s="49"/>
      <c r="IX51" s="49"/>
      <c r="IY51" s="49"/>
      <c r="IZ51" s="49"/>
      <c r="JA51" s="49"/>
      <c r="JB51" s="49"/>
    </row>
    <row r="52" spans="1:262">
      <c r="A52" s="110" t="s">
        <v>119</v>
      </c>
      <c r="B52" s="65" t="s">
        <v>120</v>
      </c>
      <c r="C52" s="65" t="s">
        <v>121</v>
      </c>
      <c r="D52" s="67"/>
      <c r="E52" s="68"/>
      <c r="F52" s="73">
        <v>0.5</v>
      </c>
      <c r="G52" s="68"/>
      <c r="H52" s="69"/>
      <c r="I52" s="71"/>
      <c r="J52" s="71"/>
      <c r="K52" s="72"/>
      <c r="L52" s="73">
        <v>5</v>
      </c>
      <c r="M52" s="107">
        <v>46235</v>
      </c>
      <c r="N52" s="107">
        <v>46295</v>
      </c>
      <c r="O52" s="107"/>
      <c r="P52" s="107"/>
      <c r="Q52" s="107"/>
      <c r="R52" s="113"/>
      <c r="S52" s="74"/>
      <c r="T52" s="48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  <c r="DK52" s="49"/>
      <c r="DL52" s="49"/>
      <c r="DM52" s="49"/>
      <c r="DN52" s="49"/>
      <c r="DO52" s="49"/>
      <c r="DP52" s="49"/>
      <c r="DQ52" s="49"/>
      <c r="DR52" s="49"/>
      <c r="DS52" s="49"/>
      <c r="DT52" s="49"/>
      <c r="DU52" s="49"/>
      <c r="DV52" s="49"/>
      <c r="DW52" s="49"/>
      <c r="DX52" s="49"/>
      <c r="DY52" s="49"/>
      <c r="DZ52" s="49"/>
      <c r="EA52" s="49"/>
      <c r="EB52" s="49"/>
      <c r="EC52" s="49"/>
      <c r="ED52" s="49"/>
      <c r="EE52" s="49"/>
      <c r="EF52" s="49"/>
      <c r="EG52" s="49"/>
      <c r="EH52" s="49"/>
      <c r="EI52" s="49"/>
      <c r="EJ52" s="49"/>
      <c r="EK52" s="49"/>
      <c r="EL52" s="49"/>
      <c r="EM52" s="49"/>
      <c r="EN52" s="49"/>
      <c r="EO52" s="49"/>
      <c r="EP52" s="49"/>
      <c r="EQ52" s="49"/>
      <c r="ER52" s="49"/>
      <c r="ES52" s="49"/>
      <c r="ET52" s="49"/>
      <c r="EU52" s="49"/>
      <c r="EV52" s="49"/>
      <c r="EW52" s="49"/>
      <c r="EX52" s="49"/>
      <c r="EY52" s="49"/>
      <c r="EZ52" s="49"/>
      <c r="FA52" s="49"/>
      <c r="FB52" s="49"/>
      <c r="FC52" s="49"/>
      <c r="FD52" s="49"/>
      <c r="FE52" s="49"/>
      <c r="FF52" s="49"/>
      <c r="FG52" s="49"/>
      <c r="FH52" s="49"/>
      <c r="FI52" s="49"/>
      <c r="FJ52" s="49"/>
      <c r="FK52" s="49"/>
      <c r="FL52" s="49"/>
      <c r="FM52" s="49"/>
      <c r="FN52" s="49"/>
      <c r="FO52" s="49"/>
      <c r="FP52" s="49"/>
      <c r="FQ52" s="49"/>
      <c r="FR52" s="49"/>
      <c r="FS52" s="49"/>
      <c r="FT52" s="49"/>
      <c r="FU52" s="49"/>
      <c r="FV52" s="49"/>
      <c r="FW52" s="49"/>
      <c r="FX52" s="49"/>
      <c r="FY52" s="49"/>
      <c r="FZ52" s="49"/>
      <c r="GA52" s="49"/>
      <c r="GB52" s="49"/>
      <c r="GC52" s="49"/>
      <c r="GD52" s="49"/>
      <c r="GE52" s="49"/>
      <c r="GF52" s="49"/>
      <c r="GG52" s="49"/>
      <c r="GH52" s="49"/>
      <c r="GI52" s="49"/>
      <c r="GJ52" s="49"/>
      <c r="GK52" s="49"/>
      <c r="GL52" s="49"/>
      <c r="GM52" s="49"/>
      <c r="GN52" s="49"/>
      <c r="GO52" s="49"/>
      <c r="GP52" s="49"/>
      <c r="GQ52" s="49"/>
      <c r="GR52" s="49"/>
      <c r="GS52" s="49"/>
      <c r="GT52" s="49"/>
      <c r="GU52" s="49"/>
      <c r="GV52" s="49"/>
      <c r="GW52" s="49"/>
      <c r="GX52" s="49"/>
      <c r="GY52" s="49"/>
      <c r="GZ52" s="49"/>
      <c r="HA52" s="49"/>
      <c r="HB52" s="49"/>
      <c r="HC52" s="49"/>
      <c r="HD52" s="49"/>
      <c r="HE52" s="49"/>
      <c r="HF52" s="49"/>
      <c r="HG52" s="49"/>
      <c r="HH52" s="49"/>
      <c r="HI52" s="49"/>
      <c r="HJ52" s="49"/>
      <c r="HK52" s="49"/>
      <c r="HL52" s="49"/>
      <c r="HM52" s="49"/>
      <c r="HN52" s="49"/>
      <c r="HO52" s="49"/>
      <c r="HP52" s="49"/>
      <c r="HQ52" s="49"/>
      <c r="HR52" s="49"/>
      <c r="HS52" s="49"/>
      <c r="HT52" s="49"/>
      <c r="HU52" s="49"/>
      <c r="HV52" s="49"/>
      <c r="HW52" s="49"/>
      <c r="HX52" s="49"/>
      <c r="HY52" s="49"/>
      <c r="HZ52" s="49"/>
      <c r="IA52" s="49"/>
      <c r="IB52" s="49"/>
      <c r="IC52" s="49"/>
      <c r="ID52" s="49"/>
      <c r="IE52" s="49"/>
      <c r="IF52" s="49"/>
      <c r="IG52" s="49"/>
      <c r="IH52" s="49"/>
      <c r="II52" s="49"/>
      <c r="IJ52" s="49"/>
      <c r="IK52" s="49"/>
      <c r="IL52" s="49"/>
      <c r="IM52" s="49"/>
      <c r="IN52" s="49"/>
      <c r="IO52" s="49"/>
      <c r="IP52" s="49"/>
      <c r="IQ52" s="49"/>
      <c r="IR52" s="49"/>
      <c r="IS52" s="49"/>
      <c r="IT52" s="49"/>
      <c r="IU52" s="49"/>
      <c r="IV52" s="49"/>
      <c r="IW52" s="49"/>
      <c r="IX52" s="49"/>
      <c r="IY52" s="49"/>
      <c r="IZ52" s="49"/>
      <c r="JA52" s="49"/>
      <c r="JB52" s="49"/>
    </row>
    <row r="53" spans="1:262">
      <c r="A53" s="110" t="s">
        <v>122</v>
      </c>
      <c r="B53" s="110" t="s">
        <v>123</v>
      </c>
      <c r="C53" s="65" t="s">
        <v>124</v>
      </c>
      <c r="D53" s="67"/>
      <c r="E53" s="68"/>
      <c r="F53" s="73">
        <v>0.5</v>
      </c>
      <c r="G53" s="68"/>
      <c r="H53" s="69"/>
      <c r="I53" s="71"/>
      <c r="J53" s="71"/>
      <c r="K53" s="72"/>
      <c r="L53" s="73">
        <v>1</v>
      </c>
      <c r="M53" s="107">
        <v>46235</v>
      </c>
      <c r="N53" s="107">
        <v>46295</v>
      </c>
      <c r="O53" s="107"/>
      <c r="P53" s="107"/>
      <c r="Q53" s="107"/>
      <c r="R53" s="113"/>
      <c r="S53" s="74"/>
      <c r="T53" s="48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  <c r="DK53" s="49"/>
      <c r="DL53" s="49"/>
      <c r="DM53" s="49"/>
      <c r="DN53" s="49"/>
      <c r="DO53" s="49"/>
      <c r="DP53" s="49"/>
      <c r="DQ53" s="49"/>
      <c r="DR53" s="49"/>
      <c r="DS53" s="49"/>
      <c r="DT53" s="49"/>
      <c r="DU53" s="49"/>
      <c r="DV53" s="49"/>
      <c r="DW53" s="49"/>
      <c r="DX53" s="49"/>
      <c r="DY53" s="49"/>
      <c r="DZ53" s="49"/>
      <c r="EA53" s="49"/>
      <c r="EB53" s="49"/>
      <c r="EC53" s="49"/>
      <c r="ED53" s="49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/>
      <c r="EP53" s="49"/>
      <c r="EQ53" s="49"/>
      <c r="ER53" s="49"/>
      <c r="ES53" s="49"/>
      <c r="ET53" s="49"/>
      <c r="EU53" s="49"/>
      <c r="EV53" s="49"/>
      <c r="EW53" s="49"/>
      <c r="EX53" s="49"/>
      <c r="EY53" s="49"/>
      <c r="EZ53" s="49"/>
      <c r="FA53" s="49"/>
      <c r="FB53" s="49"/>
      <c r="FC53" s="49"/>
      <c r="FD53" s="49"/>
      <c r="FE53" s="49"/>
      <c r="FF53" s="49"/>
      <c r="FG53" s="49"/>
      <c r="FH53" s="49"/>
      <c r="FI53" s="49"/>
      <c r="FJ53" s="49"/>
      <c r="FK53" s="49"/>
      <c r="FL53" s="49"/>
      <c r="FM53" s="49"/>
      <c r="FN53" s="49"/>
      <c r="FO53" s="49"/>
      <c r="FP53" s="49"/>
      <c r="FQ53" s="49"/>
      <c r="FR53" s="49"/>
      <c r="FS53" s="49"/>
      <c r="FT53" s="49"/>
      <c r="FU53" s="49"/>
      <c r="FV53" s="49"/>
      <c r="FW53" s="49"/>
      <c r="FX53" s="49"/>
      <c r="FY53" s="49"/>
      <c r="FZ53" s="49"/>
      <c r="GA53" s="49"/>
      <c r="GB53" s="49"/>
      <c r="GC53" s="49"/>
      <c r="GD53" s="49"/>
      <c r="GE53" s="49"/>
      <c r="GF53" s="49"/>
      <c r="GG53" s="49"/>
      <c r="GH53" s="49"/>
      <c r="GI53" s="49"/>
      <c r="GJ53" s="49"/>
      <c r="GK53" s="49"/>
      <c r="GL53" s="49"/>
      <c r="GM53" s="49"/>
      <c r="GN53" s="49"/>
      <c r="GO53" s="49"/>
      <c r="GP53" s="49"/>
      <c r="GQ53" s="49"/>
      <c r="GR53" s="49"/>
      <c r="GS53" s="49"/>
      <c r="GT53" s="49"/>
      <c r="GU53" s="49"/>
      <c r="GV53" s="49"/>
      <c r="GW53" s="49"/>
      <c r="GX53" s="49"/>
      <c r="GY53" s="49"/>
      <c r="GZ53" s="49"/>
      <c r="HA53" s="49"/>
      <c r="HB53" s="49"/>
      <c r="HC53" s="49"/>
      <c r="HD53" s="49"/>
      <c r="HE53" s="49"/>
      <c r="HF53" s="49"/>
      <c r="HG53" s="49"/>
      <c r="HH53" s="49"/>
      <c r="HI53" s="49"/>
      <c r="HJ53" s="49"/>
      <c r="HK53" s="49"/>
      <c r="HL53" s="49"/>
      <c r="HM53" s="49"/>
      <c r="HN53" s="49"/>
      <c r="HO53" s="49"/>
      <c r="HP53" s="49"/>
      <c r="HQ53" s="49"/>
      <c r="HR53" s="49"/>
      <c r="HS53" s="49"/>
      <c r="HT53" s="49"/>
      <c r="HU53" s="49"/>
      <c r="HV53" s="49"/>
      <c r="HW53" s="49"/>
      <c r="HX53" s="49"/>
      <c r="HY53" s="49"/>
      <c r="HZ53" s="49"/>
      <c r="IA53" s="49"/>
      <c r="IB53" s="49"/>
      <c r="IC53" s="49"/>
      <c r="ID53" s="49"/>
      <c r="IE53" s="49"/>
      <c r="IF53" s="49"/>
      <c r="IG53" s="49"/>
      <c r="IH53" s="49"/>
      <c r="II53" s="49"/>
      <c r="IJ53" s="49"/>
      <c r="IK53" s="49"/>
      <c r="IL53" s="49"/>
      <c r="IM53" s="49"/>
      <c r="IN53" s="49"/>
      <c r="IO53" s="49"/>
      <c r="IP53" s="49"/>
      <c r="IQ53" s="49"/>
      <c r="IR53" s="49"/>
      <c r="IS53" s="49"/>
      <c r="IT53" s="49"/>
      <c r="IU53" s="49"/>
      <c r="IV53" s="49"/>
      <c r="IW53" s="49"/>
      <c r="IX53" s="49"/>
      <c r="IY53" s="49"/>
      <c r="IZ53" s="49"/>
      <c r="JA53" s="49"/>
      <c r="JB53" s="49"/>
    </row>
    <row r="54" spans="1:262">
      <c r="A54" s="109">
        <v>3.4</v>
      </c>
      <c r="B54" s="116" t="s">
        <v>125</v>
      </c>
      <c r="C54" s="116"/>
      <c r="D54" s="100"/>
      <c r="E54" s="100"/>
      <c r="F54" s="103"/>
      <c r="G54" s="100"/>
      <c r="H54" s="103"/>
      <c r="I54" s="104"/>
      <c r="J54" s="104"/>
      <c r="K54" s="77"/>
      <c r="L54" s="101"/>
      <c r="M54" s="102"/>
      <c r="N54" s="102"/>
      <c r="O54" s="102"/>
      <c r="P54" s="102"/>
      <c r="Q54" s="102"/>
      <c r="R54" s="100"/>
      <c r="S54" s="105"/>
      <c r="T54" s="48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/>
      <c r="EQ54" s="49"/>
      <c r="ER54" s="49"/>
      <c r="ES54" s="49"/>
      <c r="ET54" s="49"/>
      <c r="EU54" s="49"/>
      <c r="EV54" s="49"/>
      <c r="EW54" s="49"/>
      <c r="EX54" s="49"/>
      <c r="EY54" s="49"/>
      <c r="EZ54" s="49"/>
      <c r="FA54" s="49"/>
      <c r="FB54" s="49"/>
      <c r="FC54" s="49"/>
      <c r="FD54" s="49"/>
      <c r="FE54" s="49"/>
      <c r="FF54" s="49"/>
      <c r="FG54" s="49"/>
      <c r="FH54" s="49"/>
      <c r="FI54" s="49"/>
      <c r="FJ54" s="49"/>
      <c r="FK54" s="49"/>
      <c r="FL54" s="49"/>
      <c r="FM54" s="49"/>
      <c r="FN54" s="49"/>
      <c r="FO54" s="49"/>
      <c r="FP54" s="49"/>
      <c r="FQ54" s="49"/>
      <c r="FR54" s="49"/>
      <c r="FS54" s="49"/>
      <c r="FT54" s="49"/>
      <c r="FU54" s="49"/>
      <c r="FV54" s="49"/>
      <c r="FW54" s="49"/>
      <c r="FX54" s="49"/>
      <c r="FY54" s="49"/>
      <c r="FZ54" s="49"/>
      <c r="GA54" s="49"/>
      <c r="GB54" s="49"/>
      <c r="GC54" s="49"/>
      <c r="GD54" s="49"/>
      <c r="GE54" s="49"/>
      <c r="GF54" s="49"/>
      <c r="GG54" s="49"/>
      <c r="GH54" s="49"/>
      <c r="GI54" s="49"/>
      <c r="GJ54" s="49"/>
      <c r="GK54" s="49"/>
      <c r="GL54" s="49"/>
      <c r="GM54" s="49"/>
      <c r="GN54" s="49"/>
      <c r="GO54" s="49"/>
      <c r="GP54" s="49"/>
      <c r="GQ54" s="49"/>
      <c r="GR54" s="49"/>
      <c r="GS54" s="49"/>
      <c r="GT54" s="49"/>
      <c r="GU54" s="49"/>
      <c r="GV54" s="49"/>
      <c r="GW54" s="49"/>
      <c r="GX54" s="49"/>
      <c r="GY54" s="49"/>
      <c r="GZ54" s="49"/>
      <c r="HA54" s="49"/>
      <c r="HB54" s="49"/>
      <c r="HC54" s="49"/>
      <c r="HD54" s="49"/>
      <c r="HE54" s="49"/>
      <c r="HF54" s="49"/>
      <c r="HG54" s="49"/>
      <c r="HH54" s="49"/>
      <c r="HI54" s="49"/>
      <c r="HJ54" s="49"/>
      <c r="HK54" s="49"/>
      <c r="HL54" s="49"/>
      <c r="HM54" s="49"/>
      <c r="HN54" s="49"/>
      <c r="HO54" s="49"/>
      <c r="HP54" s="49"/>
      <c r="HQ54" s="49"/>
      <c r="HR54" s="49"/>
      <c r="HS54" s="49"/>
      <c r="HT54" s="49"/>
      <c r="HU54" s="49"/>
      <c r="HV54" s="49"/>
      <c r="HW54" s="49"/>
      <c r="HX54" s="49"/>
      <c r="HY54" s="49"/>
      <c r="HZ54" s="49"/>
      <c r="IA54" s="49"/>
      <c r="IB54" s="49"/>
      <c r="IC54" s="49"/>
      <c r="ID54" s="49"/>
      <c r="IE54" s="49"/>
      <c r="IF54" s="49"/>
      <c r="IG54" s="49"/>
      <c r="IH54" s="49"/>
      <c r="II54" s="49"/>
      <c r="IJ54" s="49"/>
      <c r="IK54" s="49"/>
      <c r="IL54" s="49"/>
      <c r="IM54" s="49"/>
      <c r="IN54" s="49"/>
      <c r="IO54" s="49"/>
      <c r="IP54" s="49"/>
      <c r="IQ54" s="49"/>
      <c r="IR54" s="49"/>
      <c r="IS54" s="49"/>
      <c r="IT54" s="49"/>
      <c r="IU54" s="49"/>
      <c r="IV54" s="49"/>
      <c r="IW54" s="49"/>
      <c r="IX54" s="49"/>
      <c r="IY54" s="49"/>
      <c r="IZ54" s="49"/>
      <c r="JA54" s="49"/>
      <c r="JB54" s="49"/>
    </row>
    <row r="55" ht="23" spans="1:262">
      <c r="A55" s="110" t="s">
        <v>126</v>
      </c>
      <c r="B55" s="65" t="s">
        <v>127</v>
      </c>
      <c r="C55" s="65" t="s">
        <v>128</v>
      </c>
      <c r="D55" s="67"/>
      <c r="E55" s="68"/>
      <c r="F55" s="73">
        <v>0.5</v>
      </c>
      <c r="G55" s="68"/>
      <c r="H55" s="69"/>
      <c r="I55" s="71"/>
      <c r="J55" s="71"/>
      <c r="K55" s="72"/>
      <c r="L55" s="73">
        <v>4</v>
      </c>
      <c r="M55" s="107">
        <v>46235</v>
      </c>
      <c r="N55" s="107">
        <v>46295</v>
      </c>
      <c r="O55" s="107"/>
      <c r="P55" s="107"/>
      <c r="Q55" s="107"/>
      <c r="R55" s="113"/>
      <c r="S55" s="74"/>
      <c r="T55" s="48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  <c r="DK55" s="49"/>
      <c r="DL55" s="49"/>
      <c r="DM55" s="49"/>
      <c r="DN55" s="49"/>
      <c r="DO55" s="49"/>
      <c r="DP55" s="49"/>
      <c r="DQ55" s="49"/>
      <c r="DR55" s="49"/>
      <c r="DS55" s="49"/>
      <c r="DT55" s="49"/>
      <c r="DU55" s="49"/>
      <c r="DV55" s="49"/>
      <c r="DW55" s="49"/>
      <c r="DX55" s="49"/>
      <c r="DY55" s="49"/>
      <c r="DZ55" s="49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/>
      <c r="EQ55" s="49"/>
      <c r="ER55" s="49"/>
      <c r="ES55" s="49"/>
      <c r="ET55" s="49"/>
      <c r="EU55" s="49"/>
      <c r="EV55" s="49"/>
      <c r="EW55" s="49"/>
      <c r="EX55" s="49"/>
      <c r="EY55" s="49"/>
      <c r="EZ55" s="49"/>
      <c r="FA55" s="49"/>
      <c r="FB55" s="49"/>
      <c r="FC55" s="49"/>
      <c r="FD55" s="49"/>
      <c r="FE55" s="49"/>
      <c r="FF55" s="49"/>
      <c r="FG55" s="49"/>
      <c r="FH55" s="49"/>
      <c r="FI55" s="49"/>
      <c r="FJ55" s="49"/>
      <c r="FK55" s="49"/>
      <c r="FL55" s="49"/>
      <c r="FM55" s="49"/>
      <c r="FN55" s="49"/>
      <c r="FO55" s="49"/>
      <c r="FP55" s="49"/>
      <c r="FQ55" s="49"/>
      <c r="FR55" s="49"/>
      <c r="FS55" s="49"/>
      <c r="FT55" s="49"/>
      <c r="FU55" s="49"/>
      <c r="FV55" s="49"/>
      <c r="FW55" s="49"/>
      <c r="FX55" s="49"/>
      <c r="FY55" s="49"/>
      <c r="FZ55" s="49"/>
      <c r="GA55" s="49"/>
      <c r="GB55" s="49"/>
      <c r="GC55" s="49"/>
      <c r="GD55" s="49"/>
      <c r="GE55" s="49"/>
      <c r="GF55" s="49"/>
      <c r="GG55" s="49"/>
      <c r="GH55" s="49"/>
      <c r="GI55" s="49"/>
      <c r="GJ55" s="49"/>
      <c r="GK55" s="49"/>
      <c r="GL55" s="49"/>
      <c r="GM55" s="49"/>
      <c r="GN55" s="49"/>
      <c r="GO55" s="49"/>
      <c r="GP55" s="49"/>
      <c r="GQ55" s="49"/>
      <c r="GR55" s="49"/>
      <c r="GS55" s="49"/>
      <c r="GT55" s="49"/>
      <c r="GU55" s="49"/>
      <c r="GV55" s="49"/>
      <c r="GW55" s="49"/>
      <c r="GX55" s="49"/>
      <c r="GY55" s="49"/>
      <c r="GZ55" s="49"/>
      <c r="HA55" s="49"/>
      <c r="HB55" s="49"/>
      <c r="HC55" s="49"/>
      <c r="HD55" s="49"/>
      <c r="HE55" s="49"/>
      <c r="HF55" s="49"/>
      <c r="HG55" s="49"/>
      <c r="HH55" s="49"/>
      <c r="HI55" s="49"/>
      <c r="HJ55" s="49"/>
      <c r="HK55" s="49"/>
      <c r="HL55" s="49"/>
      <c r="HM55" s="49"/>
      <c r="HN55" s="49"/>
      <c r="HO55" s="49"/>
      <c r="HP55" s="49"/>
      <c r="HQ55" s="49"/>
      <c r="HR55" s="49"/>
      <c r="HS55" s="49"/>
      <c r="HT55" s="49"/>
      <c r="HU55" s="49"/>
      <c r="HV55" s="49"/>
      <c r="HW55" s="49"/>
      <c r="HX55" s="49"/>
      <c r="HY55" s="49"/>
      <c r="HZ55" s="49"/>
      <c r="IA55" s="49"/>
      <c r="IB55" s="49"/>
      <c r="IC55" s="49"/>
      <c r="ID55" s="49"/>
      <c r="IE55" s="49"/>
      <c r="IF55" s="49"/>
      <c r="IG55" s="49"/>
      <c r="IH55" s="49"/>
      <c r="II55" s="49"/>
      <c r="IJ55" s="49"/>
      <c r="IK55" s="49"/>
      <c r="IL55" s="49"/>
      <c r="IM55" s="49"/>
      <c r="IN55" s="49"/>
      <c r="IO55" s="49"/>
      <c r="IP55" s="49"/>
      <c r="IQ55" s="49"/>
      <c r="IR55" s="49"/>
      <c r="IS55" s="49"/>
      <c r="IT55" s="49"/>
      <c r="IU55" s="49"/>
      <c r="IV55" s="49"/>
      <c r="IW55" s="49"/>
      <c r="IX55" s="49"/>
      <c r="IY55" s="49"/>
      <c r="IZ55" s="49"/>
      <c r="JA55" s="49"/>
      <c r="JB55" s="49"/>
    </row>
    <row r="56" ht="34.5" spans="1:262">
      <c r="A56" s="110" t="s">
        <v>129</v>
      </c>
      <c r="B56" s="65" t="s">
        <v>130</v>
      </c>
      <c r="C56" s="65" t="s">
        <v>131</v>
      </c>
      <c r="D56" s="67"/>
      <c r="E56" s="68"/>
      <c r="F56" s="73">
        <v>1</v>
      </c>
      <c r="G56" s="68"/>
      <c r="H56" s="69"/>
      <c r="I56" s="71"/>
      <c r="J56" s="71"/>
      <c r="K56" s="72"/>
      <c r="L56" s="73">
        <v>3</v>
      </c>
      <c r="M56" s="107">
        <v>46235</v>
      </c>
      <c r="N56" s="107">
        <v>46295</v>
      </c>
      <c r="O56" s="107"/>
      <c r="P56" s="107"/>
      <c r="Q56" s="107"/>
      <c r="R56" s="113"/>
      <c r="S56" s="74"/>
      <c r="T56" s="48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  <c r="DK56" s="49"/>
      <c r="DL56" s="49"/>
      <c r="DM56" s="49"/>
      <c r="DN56" s="49"/>
      <c r="DO56" s="49"/>
      <c r="DP56" s="49"/>
      <c r="DQ56" s="49"/>
      <c r="DR56" s="49"/>
      <c r="DS56" s="49"/>
      <c r="DT56" s="49"/>
      <c r="DU56" s="49"/>
      <c r="DV56" s="49"/>
      <c r="DW56" s="49"/>
      <c r="DX56" s="49"/>
      <c r="DY56" s="49"/>
      <c r="DZ56" s="49"/>
      <c r="EA56" s="49"/>
      <c r="EB56" s="49"/>
      <c r="EC56" s="49"/>
      <c r="ED56" s="49"/>
      <c r="EE56" s="49"/>
      <c r="EF56" s="49"/>
      <c r="EG56" s="49"/>
      <c r="EH56" s="49"/>
      <c r="EI56" s="49"/>
      <c r="EJ56" s="49"/>
      <c r="EK56" s="49"/>
      <c r="EL56" s="49"/>
      <c r="EM56" s="49"/>
      <c r="EN56" s="49"/>
      <c r="EO56" s="49"/>
      <c r="EP56" s="49"/>
      <c r="EQ56" s="49"/>
      <c r="ER56" s="49"/>
      <c r="ES56" s="49"/>
      <c r="ET56" s="49"/>
      <c r="EU56" s="49"/>
      <c r="EV56" s="49"/>
      <c r="EW56" s="49"/>
      <c r="EX56" s="49"/>
      <c r="EY56" s="49"/>
      <c r="EZ56" s="49"/>
      <c r="FA56" s="49"/>
      <c r="FB56" s="49"/>
      <c r="FC56" s="49"/>
      <c r="FD56" s="49"/>
      <c r="FE56" s="49"/>
      <c r="FF56" s="49"/>
      <c r="FG56" s="49"/>
      <c r="FH56" s="49"/>
      <c r="FI56" s="49"/>
      <c r="FJ56" s="49"/>
      <c r="FK56" s="49"/>
      <c r="FL56" s="49"/>
      <c r="FM56" s="49"/>
      <c r="FN56" s="49"/>
      <c r="FO56" s="49"/>
      <c r="FP56" s="49"/>
      <c r="FQ56" s="49"/>
      <c r="FR56" s="49"/>
      <c r="FS56" s="49"/>
      <c r="FT56" s="49"/>
      <c r="FU56" s="49"/>
      <c r="FV56" s="49"/>
      <c r="FW56" s="49"/>
      <c r="FX56" s="49"/>
      <c r="FY56" s="49"/>
      <c r="FZ56" s="49"/>
      <c r="GA56" s="49"/>
      <c r="GB56" s="49"/>
      <c r="GC56" s="49"/>
      <c r="GD56" s="49"/>
      <c r="GE56" s="49"/>
      <c r="GF56" s="49"/>
      <c r="GG56" s="49"/>
      <c r="GH56" s="49"/>
      <c r="GI56" s="49"/>
      <c r="GJ56" s="49"/>
      <c r="GK56" s="49"/>
      <c r="GL56" s="49"/>
      <c r="GM56" s="49"/>
      <c r="GN56" s="49"/>
      <c r="GO56" s="49"/>
      <c r="GP56" s="49"/>
      <c r="GQ56" s="49"/>
      <c r="GR56" s="49"/>
      <c r="GS56" s="49"/>
      <c r="GT56" s="49"/>
      <c r="GU56" s="49"/>
      <c r="GV56" s="49"/>
      <c r="GW56" s="49"/>
      <c r="GX56" s="49"/>
      <c r="GY56" s="49"/>
      <c r="GZ56" s="49"/>
      <c r="HA56" s="49"/>
      <c r="HB56" s="49"/>
      <c r="HC56" s="49"/>
      <c r="HD56" s="49"/>
      <c r="HE56" s="49"/>
      <c r="HF56" s="49"/>
      <c r="HG56" s="49"/>
      <c r="HH56" s="49"/>
      <c r="HI56" s="49"/>
      <c r="HJ56" s="49"/>
      <c r="HK56" s="49"/>
      <c r="HL56" s="49"/>
      <c r="HM56" s="49"/>
      <c r="HN56" s="49"/>
      <c r="HO56" s="49"/>
      <c r="HP56" s="49"/>
      <c r="HQ56" s="49"/>
      <c r="HR56" s="49"/>
      <c r="HS56" s="49"/>
      <c r="HT56" s="49"/>
      <c r="HU56" s="49"/>
      <c r="HV56" s="49"/>
      <c r="HW56" s="49"/>
      <c r="HX56" s="49"/>
      <c r="HY56" s="49"/>
      <c r="HZ56" s="49"/>
      <c r="IA56" s="49"/>
      <c r="IB56" s="49"/>
      <c r="IC56" s="49"/>
      <c r="ID56" s="49"/>
      <c r="IE56" s="49"/>
      <c r="IF56" s="49"/>
      <c r="IG56" s="49"/>
      <c r="IH56" s="49"/>
      <c r="II56" s="49"/>
      <c r="IJ56" s="49"/>
      <c r="IK56" s="49"/>
      <c r="IL56" s="49"/>
      <c r="IM56" s="49"/>
      <c r="IN56" s="49"/>
      <c r="IO56" s="49"/>
      <c r="IP56" s="49"/>
      <c r="IQ56" s="49"/>
      <c r="IR56" s="49"/>
      <c r="IS56" s="49"/>
      <c r="IT56" s="49"/>
      <c r="IU56" s="49"/>
      <c r="IV56" s="49"/>
      <c r="IW56" s="49"/>
      <c r="IX56" s="49"/>
      <c r="IY56" s="49"/>
      <c r="IZ56" s="49"/>
      <c r="JA56" s="49"/>
      <c r="JB56" s="49"/>
    </row>
    <row r="57" spans="1:262">
      <c r="A57" s="110" t="s">
        <v>132</v>
      </c>
      <c r="B57" s="65" t="s">
        <v>133</v>
      </c>
      <c r="C57" s="65" t="s">
        <v>134</v>
      </c>
      <c r="D57" s="67"/>
      <c r="E57" s="68"/>
      <c r="F57" s="73">
        <v>1</v>
      </c>
      <c r="G57" s="68"/>
      <c r="H57" s="69">
        <v>0</v>
      </c>
      <c r="I57" s="71"/>
      <c r="J57" s="71"/>
      <c r="K57" s="72"/>
      <c r="L57" s="73">
        <v>3</v>
      </c>
      <c r="M57" s="107">
        <v>46235</v>
      </c>
      <c r="N57" s="107">
        <v>46295</v>
      </c>
      <c r="O57" s="107"/>
      <c r="P57" s="107"/>
      <c r="Q57" s="107"/>
      <c r="R57" s="113"/>
      <c r="S57" s="74"/>
      <c r="T57" s="48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  <c r="ES57" s="49"/>
      <c r="ET57" s="49"/>
      <c r="EU57" s="49"/>
      <c r="EV57" s="49"/>
      <c r="EW57" s="49"/>
      <c r="EX57" s="49"/>
      <c r="EY57" s="49"/>
      <c r="EZ57" s="49"/>
      <c r="FA57" s="49"/>
      <c r="FB57" s="49"/>
      <c r="FC57" s="49"/>
      <c r="FD57" s="49"/>
      <c r="FE57" s="49"/>
      <c r="FF57" s="49"/>
      <c r="FG57" s="49"/>
      <c r="FH57" s="49"/>
      <c r="FI57" s="49"/>
      <c r="FJ57" s="49"/>
      <c r="FK57" s="49"/>
      <c r="FL57" s="49"/>
      <c r="FM57" s="49"/>
      <c r="FN57" s="49"/>
      <c r="FO57" s="49"/>
      <c r="FP57" s="49"/>
      <c r="FQ57" s="49"/>
      <c r="FR57" s="49"/>
      <c r="FS57" s="49"/>
      <c r="FT57" s="49"/>
      <c r="FU57" s="49"/>
      <c r="FV57" s="49"/>
      <c r="FW57" s="49"/>
      <c r="FX57" s="49"/>
      <c r="FY57" s="49"/>
      <c r="FZ57" s="49"/>
      <c r="GA57" s="49"/>
      <c r="GB57" s="49"/>
      <c r="GC57" s="49"/>
      <c r="GD57" s="49"/>
      <c r="GE57" s="49"/>
      <c r="GF57" s="49"/>
      <c r="GG57" s="49"/>
      <c r="GH57" s="49"/>
      <c r="GI57" s="49"/>
      <c r="GJ57" s="49"/>
      <c r="GK57" s="49"/>
      <c r="GL57" s="49"/>
      <c r="GM57" s="49"/>
      <c r="GN57" s="49"/>
      <c r="GO57" s="49"/>
      <c r="GP57" s="49"/>
      <c r="GQ57" s="49"/>
      <c r="GR57" s="49"/>
      <c r="GS57" s="49"/>
      <c r="GT57" s="49"/>
      <c r="GU57" s="49"/>
      <c r="GV57" s="49"/>
      <c r="GW57" s="49"/>
      <c r="GX57" s="49"/>
      <c r="GY57" s="49"/>
      <c r="GZ57" s="49"/>
      <c r="HA57" s="49"/>
      <c r="HB57" s="49"/>
      <c r="HC57" s="49"/>
      <c r="HD57" s="49"/>
      <c r="HE57" s="49"/>
      <c r="HF57" s="49"/>
      <c r="HG57" s="49"/>
      <c r="HH57" s="49"/>
      <c r="HI57" s="49"/>
      <c r="HJ57" s="49"/>
      <c r="HK57" s="49"/>
      <c r="HL57" s="49"/>
      <c r="HM57" s="49"/>
      <c r="HN57" s="49"/>
      <c r="HO57" s="49"/>
      <c r="HP57" s="49"/>
      <c r="HQ57" s="49"/>
      <c r="HR57" s="49"/>
      <c r="HS57" s="49"/>
      <c r="HT57" s="49"/>
      <c r="HU57" s="49"/>
      <c r="HV57" s="49"/>
      <c r="HW57" s="49"/>
      <c r="HX57" s="49"/>
      <c r="HY57" s="49"/>
      <c r="HZ57" s="49"/>
      <c r="IA57" s="49"/>
      <c r="IB57" s="49"/>
      <c r="IC57" s="49"/>
      <c r="ID57" s="49"/>
      <c r="IE57" s="49"/>
      <c r="IF57" s="49"/>
      <c r="IG57" s="49"/>
      <c r="IH57" s="49"/>
      <c r="II57" s="49"/>
      <c r="IJ57" s="49"/>
      <c r="IK57" s="49"/>
      <c r="IL57" s="49"/>
      <c r="IM57" s="49"/>
      <c r="IN57" s="49"/>
      <c r="IO57" s="49"/>
      <c r="IP57" s="49"/>
      <c r="IQ57" s="49"/>
      <c r="IR57" s="49"/>
      <c r="IS57" s="49"/>
      <c r="IT57" s="49"/>
      <c r="IU57" s="49"/>
      <c r="IV57" s="49"/>
      <c r="IW57" s="49"/>
      <c r="IX57" s="49"/>
      <c r="IY57" s="49"/>
      <c r="IZ57" s="49"/>
      <c r="JA57" s="49"/>
      <c r="JB57" s="49"/>
    </row>
    <row r="58" spans="1:262">
      <c r="A58" s="59"/>
      <c r="B58" s="75" t="s">
        <v>135</v>
      </c>
      <c r="C58" s="117"/>
      <c r="D58" s="117"/>
      <c r="E58" s="117"/>
      <c r="F58" s="118">
        <v>60.5</v>
      </c>
      <c r="G58" s="117"/>
      <c r="H58" s="118">
        <v>54</v>
      </c>
      <c r="I58" s="117"/>
      <c r="J58" s="117"/>
      <c r="K58" s="119"/>
      <c r="L58" s="118">
        <v>206</v>
      </c>
      <c r="M58" s="117"/>
      <c r="N58" s="117"/>
      <c r="O58" s="117"/>
      <c r="P58" s="117"/>
      <c r="Q58" s="117"/>
      <c r="R58" s="117"/>
      <c r="S58" s="120"/>
      <c r="T58" s="48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  <c r="ES58" s="49"/>
      <c r="ET58" s="49"/>
      <c r="EU58" s="49"/>
      <c r="EV58" s="49"/>
      <c r="EW58" s="49"/>
      <c r="EX58" s="49"/>
      <c r="EY58" s="49"/>
      <c r="EZ58" s="49"/>
      <c r="FA58" s="49"/>
      <c r="FB58" s="49"/>
      <c r="FC58" s="49"/>
      <c r="FD58" s="49"/>
      <c r="FE58" s="49"/>
      <c r="FF58" s="49"/>
      <c r="FG58" s="49"/>
      <c r="FH58" s="49"/>
      <c r="FI58" s="49"/>
      <c r="FJ58" s="49"/>
      <c r="FK58" s="49"/>
      <c r="FL58" s="49"/>
      <c r="FM58" s="49"/>
      <c r="FN58" s="49"/>
      <c r="FO58" s="49"/>
      <c r="FP58" s="49"/>
      <c r="FQ58" s="49"/>
      <c r="FR58" s="49"/>
      <c r="FS58" s="49"/>
      <c r="FT58" s="49"/>
      <c r="FU58" s="49"/>
      <c r="FV58" s="49"/>
      <c r="FW58" s="49"/>
      <c r="FX58" s="49"/>
      <c r="FY58" s="49"/>
      <c r="FZ58" s="49"/>
      <c r="GA58" s="49"/>
      <c r="GB58" s="49"/>
      <c r="GC58" s="49"/>
      <c r="GD58" s="49"/>
      <c r="GE58" s="49"/>
      <c r="GF58" s="49"/>
      <c r="GG58" s="49"/>
      <c r="GH58" s="49"/>
      <c r="GI58" s="49"/>
      <c r="GJ58" s="49"/>
      <c r="GK58" s="49"/>
      <c r="GL58" s="49"/>
      <c r="GM58" s="49"/>
      <c r="GN58" s="49"/>
      <c r="GO58" s="49"/>
      <c r="GP58" s="49"/>
      <c r="GQ58" s="49"/>
      <c r="GR58" s="49"/>
      <c r="GS58" s="49"/>
      <c r="GT58" s="49"/>
      <c r="GU58" s="49"/>
      <c r="GV58" s="49"/>
      <c r="GW58" s="49"/>
      <c r="GX58" s="49"/>
      <c r="GY58" s="49"/>
      <c r="GZ58" s="49"/>
      <c r="HA58" s="49"/>
      <c r="HB58" s="49"/>
      <c r="HC58" s="49"/>
      <c r="HD58" s="49"/>
      <c r="HE58" s="49"/>
      <c r="HF58" s="49"/>
      <c r="HG58" s="49"/>
      <c r="HH58" s="49"/>
      <c r="HI58" s="49"/>
      <c r="HJ58" s="49"/>
      <c r="HK58" s="49"/>
      <c r="HL58" s="49"/>
      <c r="HM58" s="49"/>
      <c r="HN58" s="49"/>
      <c r="HO58" s="49"/>
      <c r="HP58" s="49"/>
      <c r="HQ58" s="49"/>
      <c r="HR58" s="49"/>
      <c r="HS58" s="49"/>
      <c r="HT58" s="49"/>
      <c r="HU58" s="49"/>
      <c r="HV58" s="49"/>
      <c r="HW58" s="49"/>
      <c r="HX58" s="49"/>
      <c r="HY58" s="49"/>
      <c r="HZ58" s="49"/>
      <c r="IA58" s="49"/>
      <c r="IB58" s="49"/>
      <c r="IC58" s="49"/>
      <c r="ID58" s="49"/>
      <c r="IE58" s="49"/>
      <c r="IF58" s="49"/>
      <c r="IG58" s="49"/>
      <c r="IH58" s="49"/>
      <c r="II58" s="49"/>
      <c r="IJ58" s="49"/>
      <c r="IK58" s="49"/>
      <c r="IL58" s="49"/>
      <c r="IM58" s="49"/>
      <c r="IN58" s="49"/>
      <c r="IO58" s="49"/>
      <c r="IP58" s="49"/>
      <c r="IQ58" s="49"/>
      <c r="IR58" s="49"/>
      <c r="IS58" s="49"/>
      <c r="IT58" s="49"/>
      <c r="IU58" s="49"/>
      <c r="IV58" s="49"/>
      <c r="IW58" s="49"/>
      <c r="IX58" s="49"/>
      <c r="IY58" s="49"/>
      <c r="IZ58" s="49"/>
      <c r="JA58" s="49"/>
      <c r="JB58" s="49"/>
    </row>
    <row r="59" spans="1:262">
      <c r="A59" s="121"/>
      <c r="B59" s="49"/>
      <c r="C59" s="49"/>
      <c r="D59" s="49"/>
      <c r="E59" s="49"/>
      <c r="F59" s="122"/>
      <c r="G59" s="49"/>
      <c r="H59" s="123"/>
      <c r="I59" s="49"/>
      <c r="J59" s="49"/>
      <c r="K59" s="124"/>
      <c r="L59" s="122"/>
      <c r="M59" s="49"/>
      <c r="N59" s="49"/>
      <c r="O59" s="49"/>
      <c r="P59" s="49"/>
      <c r="Q59" s="49"/>
      <c r="R59" s="49"/>
      <c r="S59" s="49"/>
      <c r="T59" s="48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  <c r="DE59" s="49"/>
      <c r="DF59" s="49"/>
      <c r="DG59" s="49"/>
      <c r="DH59" s="49"/>
      <c r="DI59" s="49"/>
      <c r="DJ59" s="49"/>
      <c r="DK59" s="49"/>
      <c r="DL59" s="49"/>
      <c r="DM59" s="49"/>
      <c r="DN59" s="49"/>
      <c r="DO59" s="49"/>
      <c r="DP59" s="49"/>
      <c r="DQ59" s="49"/>
      <c r="DR59" s="49"/>
      <c r="DS59" s="49"/>
      <c r="DT59" s="49"/>
      <c r="DU59" s="49"/>
      <c r="DV59" s="49"/>
      <c r="DW59" s="49"/>
      <c r="DX59" s="49"/>
      <c r="DY59" s="49"/>
      <c r="DZ59" s="49"/>
      <c r="EA59" s="49"/>
      <c r="EB59" s="49"/>
      <c r="EC59" s="49"/>
      <c r="ED59" s="49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/>
      <c r="ER59" s="49"/>
      <c r="ES59" s="49"/>
      <c r="ET59" s="49"/>
      <c r="EU59" s="49"/>
      <c r="EV59" s="49"/>
      <c r="EW59" s="49"/>
      <c r="EX59" s="49"/>
      <c r="EY59" s="49"/>
      <c r="EZ59" s="49"/>
      <c r="FA59" s="49"/>
      <c r="FB59" s="49"/>
      <c r="FC59" s="49"/>
      <c r="FD59" s="49"/>
      <c r="FE59" s="49"/>
      <c r="FF59" s="49"/>
      <c r="FG59" s="49"/>
      <c r="FH59" s="49"/>
      <c r="FI59" s="49"/>
      <c r="FJ59" s="49"/>
      <c r="FK59" s="49"/>
      <c r="FL59" s="49"/>
      <c r="FM59" s="49"/>
      <c r="FN59" s="49"/>
      <c r="FO59" s="49"/>
      <c r="FP59" s="49"/>
      <c r="FQ59" s="49"/>
      <c r="FR59" s="49"/>
      <c r="FS59" s="49"/>
      <c r="FT59" s="49"/>
      <c r="FU59" s="49"/>
      <c r="FV59" s="49"/>
      <c r="FW59" s="49"/>
      <c r="FX59" s="49"/>
      <c r="FY59" s="49"/>
      <c r="FZ59" s="49"/>
      <c r="GA59" s="49"/>
      <c r="GB59" s="49"/>
      <c r="GC59" s="49"/>
      <c r="GD59" s="49"/>
      <c r="GE59" s="49"/>
      <c r="GF59" s="49"/>
      <c r="GG59" s="49"/>
      <c r="GH59" s="49"/>
      <c r="GI59" s="49"/>
      <c r="GJ59" s="49"/>
      <c r="GK59" s="49"/>
      <c r="GL59" s="49"/>
      <c r="GM59" s="49"/>
      <c r="GN59" s="49"/>
      <c r="GO59" s="49"/>
      <c r="GP59" s="49"/>
      <c r="GQ59" s="49"/>
      <c r="GR59" s="49"/>
      <c r="GS59" s="49"/>
      <c r="GT59" s="49"/>
      <c r="GU59" s="49"/>
      <c r="GV59" s="49"/>
      <c r="GW59" s="49"/>
      <c r="GX59" s="49"/>
      <c r="GY59" s="49"/>
      <c r="GZ59" s="49"/>
      <c r="HA59" s="49"/>
      <c r="HB59" s="49"/>
      <c r="HC59" s="49"/>
      <c r="HD59" s="49"/>
      <c r="HE59" s="49"/>
      <c r="HF59" s="49"/>
      <c r="HG59" s="49"/>
      <c r="HH59" s="49"/>
      <c r="HI59" s="49"/>
      <c r="HJ59" s="49"/>
      <c r="HK59" s="49"/>
      <c r="HL59" s="49"/>
      <c r="HM59" s="49"/>
      <c r="HN59" s="49"/>
      <c r="HO59" s="49"/>
      <c r="HP59" s="49"/>
      <c r="HQ59" s="49"/>
      <c r="HR59" s="49"/>
      <c r="HS59" s="49"/>
      <c r="HT59" s="49"/>
      <c r="HU59" s="49"/>
      <c r="HV59" s="49"/>
      <c r="HW59" s="49"/>
      <c r="HX59" s="49"/>
      <c r="HY59" s="49"/>
      <c r="HZ59" s="49"/>
      <c r="IA59" s="49"/>
      <c r="IB59" s="49"/>
      <c r="IC59" s="49"/>
      <c r="ID59" s="49"/>
      <c r="IE59" s="49"/>
      <c r="IF59" s="49"/>
      <c r="IG59" s="49"/>
      <c r="IH59" s="49"/>
      <c r="II59" s="49"/>
      <c r="IJ59" s="49"/>
      <c r="IK59" s="49"/>
      <c r="IL59" s="49"/>
      <c r="IM59" s="49"/>
      <c r="IN59" s="49"/>
      <c r="IO59" s="49"/>
      <c r="IP59" s="49"/>
      <c r="IQ59" s="49"/>
      <c r="IR59" s="49"/>
      <c r="IS59" s="49"/>
      <c r="IT59" s="49"/>
      <c r="IU59" s="49"/>
      <c r="IV59" s="49"/>
      <c r="IW59" s="49"/>
      <c r="IX59" s="49"/>
      <c r="IY59" s="49"/>
      <c r="IZ59" s="49"/>
      <c r="JA59" s="49"/>
      <c r="JB59" s="49"/>
    </row>
    <row r="60" spans="1:262">
      <c r="A60" s="121"/>
      <c r="B60" s="49"/>
      <c r="C60" s="49"/>
      <c r="D60" s="49"/>
      <c r="E60" s="49"/>
      <c r="F60" s="122"/>
      <c r="G60" s="49"/>
      <c r="H60" s="123"/>
      <c r="I60" s="49"/>
      <c r="J60" s="49"/>
      <c r="K60" s="124"/>
      <c r="L60" s="122"/>
      <c r="M60" s="49"/>
      <c r="N60" s="49"/>
      <c r="O60" s="49"/>
      <c r="P60" s="49"/>
      <c r="Q60" s="49"/>
      <c r="R60" s="49"/>
      <c r="S60" s="49"/>
      <c r="T60" s="48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  <c r="DC60" s="49"/>
      <c r="DD60" s="49"/>
      <c r="DE60" s="49"/>
      <c r="DF60" s="49"/>
      <c r="DG60" s="49"/>
      <c r="DH60" s="49"/>
      <c r="DI60" s="49"/>
      <c r="DJ60" s="49"/>
      <c r="DK60" s="49"/>
      <c r="DL60" s="49"/>
      <c r="DM60" s="49"/>
      <c r="DN60" s="49"/>
      <c r="DO60" s="49"/>
      <c r="DP60" s="49"/>
      <c r="DQ60" s="49"/>
      <c r="DR60" s="49"/>
      <c r="DS60" s="49"/>
      <c r="DT60" s="49"/>
      <c r="DU60" s="49"/>
      <c r="DV60" s="49"/>
      <c r="DW60" s="49"/>
      <c r="DX60" s="49"/>
      <c r="DY60" s="49"/>
      <c r="DZ60" s="49"/>
      <c r="EA60" s="49"/>
      <c r="EB60" s="49"/>
      <c r="EC60" s="49"/>
      <c r="ED60" s="49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49"/>
      <c r="ES60" s="49"/>
      <c r="ET60" s="49"/>
      <c r="EU60" s="49"/>
      <c r="EV60" s="49"/>
      <c r="EW60" s="49"/>
      <c r="EX60" s="49"/>
      <c r="EY60" s="49"/>
      <c r="EZ60" s="49"/>
      <c r="FA60" s="49"/>
      <c r="FB60" s="49"/>
      <c r="FC60" s="49"/>
      <c r="FD60" s="49"/>
      <c r="FE60" s="49"/>
      <c r="FF60" s="49"/>
      <c r="FG60" s="49"/>
      <c r="FH60" s="49"/>
      <c r="FI60" s="49"/>
      <c r="FJ60" s="49"/>
      <c r="FK60" s="49"/>
      <c r="FL60" s="49"/>
      <c r="FM60" s="49"/>
      <c r="FN60" s="49"/>
      <c r="FO60" s="49"/>
      <c r="FP60" s="49"/>
      <c r="FQ60" s="49"/>
      <c r="FR60" s="49"/>
      <c r="FS60" s="49"/>
      <c r="FT60" s="49"/>
      <c r="FU60" s="49"/>
      <c r="FV60" s="49"/>
      <c r="FW60" s="49"/>
      <c r="FX60" s="49"/>
      <c r="FY60" s="49"/>
      <c r="FZ60" s="49"/>
      <c r="GA60" s="49"/>
      <c r="GB60" s="49"/>
      <c r="GC60" s="49"/>
      <c r="GD60" s="49"/>
      <c r="GE60" s="49"/>
      <c r="GF60" s="49"/>
      <c r="GG60" s="49"/>
      <c r="GH60" s="49"/>
      <c r="GI60" s="49"/>
      <c r="GJ60" s="49"/>
      <c r="GK60" s="49"/>
      <c r="GL60" s="49"/>
      <c r="GM60" s="49"/>
      <c r="GN60" s="49"/>
      <c r="GO60" s="49"/>
      <c r="GP60" s="49"/>
      <c r="GQ60" s="49"/>
      <c r="GR60" s="49"/>
      <c r="GS60" s="49"/>
      <c r="GT60" s="49"/>
      <c r="GU60" s="49"/>
      <c r="GV60" s="49"/>
      <c r="GW60" s="49"/>
      <c r="GX60" s="49"/>
      <c r="GY60" s="49"/>
      <c r="GZ60" s="49"/>
      <c r="HA60" s="49"/>
      <c r="HB60" s="49"/>
      <c r="HC60" s="49"/>
      <c r="HD60" s="49"/>
      <c r="HE60" s="49"/>
      <c r="HF60" s="49"/>
      <c r="HG60" s="49"/>
      <c r="HH60" s="49"/>
      <c r="HI60" s="49"/>
      <c r="HJ60" s="49"/>
      <c r="HK60" s="49"/>
      <c r="HL60" s="49"/>
      <c r="HM60" s="49"/>
      <c r="HN60" s="49"/>
      <c r="HO60" s="49"/>
      <c r="HP60" s="49"/>
      <c r="HQ60" s="49"/>
      <c r="HR60" s="49"/>
      <c r="HS60" s="49"/>
      <c r="HT60" s="49"/>
      <c r="HU60" s="49"/>
      <c r="HV60" s="49"/>
      <c r="HW60" s="49"/>
      <c r="HX60" s="49"/>
      <c r="HY60" s="49"/>
      <c r="HZ60" s="49"/>
      <c r="IA60" s="49"/>
      <c r="IB60" s="49"/>
      <c r="IC60" s="49"/>
      <c r="ID60" s="49"/>
      <c r="IE60" s="49"/>
      <c r="IF60" s="49"/>
      <c r="IG60" s="49"/>
      <c r="IH60" s="49"/>
      <c r="II60" s="49"/>
      <c r="IJ60" s="49"/>
      <c r="IK60" s="49"/>
      <c r="IL60" s="49"/>
      <c r="IM60" s="49"/>
      <c r="IN60" s="49"/>
      <c r="IO60" s="49"/>
      <c r="IP60" s="49"/>
      <c r="IQ60" s="49"/>
      <c r="IR60" s="49"/>
      <c r="IS60" s="49"/>
      <c r="IT60" s="49"/>
      <c r="IU60" s="49"/>
      <c r="IV60" s="49"/>
      <c r="IW60" s="49"/>
      <c r="IX60" s="49"/>
      <c r="IY60" s="49"/>
      <c r="IZ60" s="49"/>
      <c r="JA60" s="49"/>
      <c r="JB60" s="49"/>
    </row>
  </sheetData>
  <mergeCells count="11">
    <mergeCell ref="A1:R1"/>
    <mergeCell ref="H2:J2"/>
    <mergeCell ref="L2:N2"/>
    <mergeCell ref="O2:Q2"/>
    <mergeCell ref="A2:A3"/>
    <mergeCell ref="B2:B3"/>
    <mergeCell ref="C2:C3"/>
    <mergeCell ref="Q9:Q10"/>
    <mergeCell ref="R2:R3"/>
    <mergeCell ref="S2:S3"/>
    <mergeCell ref="T9:T10"/>
  </mergeCells>
  <conditionalFormatting sqref="K4:K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{fe281a7a-f8e7-4bfa-a434-c9985a727006}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281a7a-f8e7-4bfa-a434-c9985a727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K4:K22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zoomScale="70" zoomScaleNormal="70" workbookViewId="0">
      <pane xSplit="1" ySplit="4" topLeftCell="B5" activePane="bottomRight" state="frozen"/>
      <selection/>
      <selection pane="topRight"/>
      <selection pane="bottomLeft"/>
      <selection pane="bottomRight" activeCell="B5" sqref="B5"/>
    </sheetView>
  </sheetViews>
  <sheetFormatPr defaultColWidth="8.87272727272727" defaultRowHeight="13.75"/>
  <cols>
    <col min="1" max="1" width="8.10909090909091" style="17" customWidth="1"/>
    <col min="2" max="2" width="28.6909090909091" style="3" customWidth="1"/>
    <col min="3" max="3" width="6.03636363636364" style="17" customWidth="1"/>
    <col min="4" max="4" width="54.1090909090909" style="17" customWidth="1"/>
    <col min="5" max="5" width="7.22727272727273" style="17" customWidth="1"/>
    <col min="6" max="8" width="9.05454545454545" style="17" customWidth="1"/>
    <col min="9" max="9" width="14" style="17" customWidth="1"/>
    <col min="10" max="10" width="16.1090909090909" style="17" customWidth="1"/>
    <col min="11" max="11" width="9.68181818181818" style="17" customWidth="1"/>
    <col min="12" max="12" width="8.87272727272727" style="3"/>
    <col min="13" max="13" width="65.5272727272727" style="3" customWidth="1"/>
    <col min="14" max="16384" width="8.87272727272727" style="3"/>
  </cols>
  <sheetData>
    <row r="1" s="3" customFormat="1" spans="1:11">
      <c r="A1" s="18" t="s">
        <v>183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="3" customFormat="1" spans="1:11">
      <c r="A2" s="19" t="s">
        <v>136</v>
      </c>
      <c r="B2" s="19" t="s">
        <v>184</v>
      </c>
      <c r="C2" s="19" t="s">
        <v>185</v>
      </c>
      <c r="D2" s="19" t="s">
        <v>186</v>
      </c>
      <c r="E2" s="19" t="s">
        <v>187</v>
      </c>
      <c r="F2" s="19" t="s">
        <v>188</v>
      </c>
      <c r="G2" s="19" t="s">
        <v>189</v>
      </c>
      <c r="H2" s="19" t="s">
        <v>190</v>
      </c>
      <c r="I2" s="19" t="s">
        <v>191</v>
      </c>
      <c r="J2" s="19" t="s">
        <v>192</v>
      </c>
      <c r="K2" s="19" t="s">
        <v>193</v>
      </c>
    </row>
    <row r="3" s="3" customFormat="1" spans="1:11">
      <c r="A3" s="20">
        <v>1</v>
      </c>
      <c r="B3" s="21" t="s">
        <v>194</v>
      </c>
      <c r="C3" s="22"/>
      <c r="D3" s="23" t="s">
        <v>195</v>
      </c>
      <c r="E3" s="23"/>
      <c r="F3" s="23"/>
      <c r="G3" s="23"/>
      <c r="H3" s="23"/>
      <c r="I3" s="23"/>
      <c r="J3" s="24"/>
      <c r="K3" s="25"/>
    </row>
    <row r="4" s="3" customFormat="1" hidden="1" spans="1:11">
      <c r="A4" s="20"/>
      <c r="B4" s="21"/>
      <c r="C4" s="26"/>
      <c r="D4" s="27"/>
      <c r="E4" s="27"/>
      <c r="F4" s="27"/>
      <c r="G4" s="27"/>
      <c r="H4" s="28">
        <v>1</v>
      </c>
      <c r="I4" s="27"/>
      <c r="J4" s="29"/>
      <c r="K4" s="30"/>
    </row>
    <row r="5" s="3" customFormat="1" ht="55" spans="1:11">
      <c r="A5" s="31" t="s">
        <v>196</v>
      </c>
      <c r="B5" s="32" t="s">
        <v>32</v>
      </c>
      <c r="C5" s="33"/>
      <c r="D5" s="34" t="s">
        <v>197</v>
      </c>
      <c r="E5" s="33">
        <v>1</v>
      </c>
      <c r="F5" s="33" t="s">
        <v>198</v>
      </c>
      <c r="G5" s="33"/>
      <c r="H5" s="28">
        <v>0.6</v>
      </c>
      <c r="I5" s="28"/>
      <c r="J5" s="33"/>
      <c r="K5" s="35">
        <v>46141</v>
      </c>
    </row>
    <row r="6" s="3" customFormat="1" ht="68.75" spans="1:11">
      <c r="A6" s="31" t="s">
        <v>199</v>
      </c>
      <c r="B6" s="32" t="s">
        <v>29</v>
      </c>
      <c r="C6" s="33"/>
      <c r="D6" s="34" t="s">
        <v>200</v>
      </c>
      <c r="E6" s="33">
        <v>1</v>
      </c>
      <c r="F6" s="33" t="s">
        <v>198</v>
      </c>
      <c r="G6" s="33"/>
      <c r="H6" s="28"/>
      <c r="I6" s="28"/>
      <c r="J6" s="33"/>
      <c r="K6" s="35">
        <v>46164</v>
      </c>
    </row>
    <row r="7" s="3" customFormat="1" ht="55" spans="1:11">
      <c r="A7" s="31" t="s">
        <v>201</v>
      </c>
      <c r="B7" s="32" t="s">
        <v>41</v>
      </c>
      <c r="C7" s="33"/>
      <c r="D7" s="36" t="s">
        <v>202</v>
      </c>
      <c r="E7" s="33">
        <v>1</v>
      </c>
      <c r="F7" s="33" t="s">
        <v>198</v>
      </c>
      <c r="G7" s="33"/>
      <c r="H7" s="28"/>
      <c r="I7" s="28"/>
      <c r="J7" s="33"/>
      <c r="K7" s="35">
        <v>46181</v>
      </c>
    </row>
    <row r="8" s="3" customFormat="1" spans="1:11">
      <c r="A8" s="31"/>
      <c r="B8" s="32"/>
      <c r="C8" s="33"/>
      <c r="D8" s="34"/>
      <c r="E8" s="33"/>
      <c r="F8" s="33"/>
      <c r="G8" s="33"/>
      <c r="H8" s="28"/>
      <c r="I8" s="28"/>
      <c r="J8" s="33"/>
      <c r="K8" s="35"/>
    </row>
    <row r="9" s="3" customFormat="1" spans="1:11">
      <c r="A9" s="31"/>
      <c r="B9" s="32"/>
      <c r="C9" s="33"/>
      <c r="D9" s="34"/>
      <c r="E9" s="33"/>
      <c r="F9" s="33"/>
      <c r="G9" s="33"/>
      <c r="H9" s="28"/>
      <c r="I9" s="28"/>
      <c r="J9" s="33"/>
      <c r="K9" s="35"/>
    </row>
    <row r="10" s="3" customFormat="1" spans="1:11">
      <c r="A10" s="31"/>
      <c r="B10" s="32"/>
      <c r="C10" s="33"/>
      <c r="D10" s="34"/>
      <c r="E10" s="33"/>
      <c r="F10" s="33"/>
      <c r="G10" s="33"/>
      <c r="H10" s="28"/>
      <c r="I10" s="28"/>
      <c r="J10" s="33"/>
      <c r="K10" s="35"/>
    </row>
    <row r="11" s="3" customFormat="1" spans="1:11">
      <c r="A11" s="31"/>
      <c r="B11" s="32"/>
      <c r="C11" s="33"/>
      <c r="D11" s="34"/>
      <c r="E11" s="33"/>
      <c r="F11" s="33"/>
      <c r="G11" s="33"/>
      <c r="H11" s="28"/>
      <c r="I11" s="28"/>
      <c r="J11" s="33"/>
      <c r="K11" s="35"/>
    </row>
    <row r="12" s="3" customFormat="1" spans="1:11">
      <c r="A12" s="31"/>
      <c r="B12" s="32"/>
      <c r="C12" s="33"/>
      <c r="D12" s="34"/>
      <c r="E12" s="33"/>
      <c r="F12" s="33"/>
      <c r="G12" s="33"/>
      <c r="H12" s="28"/>
      <c r="I12" s="28"/>
      <c r="J12" s="33"/>
      <c r="K12" s="35"/>
    </row>
    <row r="13" s="3" customFormat="1" spans="1:11">
      <c r="A13" s="31"/>
      <c r="B13" s="32"/>
      <c r="C13" s="33"/>
      <c r="D13" s="34"/>
      <c r="E13" s="33"/>
      <c r="F13" s="33"/>
      <c r="G13" s="33"/>
      <c r="H13" s="28"/>
      <c r="I13" s="28"/>
      <c r="J13" s="33"/>
      <c r="K13" s="35"/>
    </row>
    <row r="14" s="3" customFormat="1" spans="1:11">
      <c r="A14" s="31"/>
      <c r="B14" s="32"/>
      <c r="C14" s="33"/>
      <c r="D14" s="34"/>
      <c r="E14" s="33"/>
      <c r="F14" s="33"/>
      <c r="G14" s="33"/>
      <c r="H14" s="28"/>
      <c r="I14" s="28"/>
      <c r="J14" s="33"/>
      <c r="K14" s="35"/>
    </row>
    <row r="15" s="3" customFormat="1" spans="1:11">
      <c r="A15" s="31"/>
      <c r="B15" s="32"/>
      <c r="C15" s="33"/>
      <c r="D15" s="34"/>
      <c r="E15" s="33"/>
      <c r="F15" s="33"/>
      <c r="G15" s="33"/>
      <c r="H15" s="28"/>
      <c r="I15" s="28"/>
      <c r="J15" s="33"/>
      <c r="K15" s="35"/>
    </row>
    <row r="16" s="3" customFormat="1" spans="1:11">
      <c r="A16" s="31"/>
      <c r="B16" s="32"/>
      <c r="C16" s="33"/>
      <c r="D16" s="34"/>
      <c r="E16" s="33"/>
      <c r="F16" s="33"/>
      <c r="G16" s="33"/>
      <c r="H16" s="28"/>
      <c r="I16" s="28"/>
      <c r="J16" s="33"/>
      <c r="K16" s="35"/>
    </row>
    <row r="17" s="3" customFormat="1" spans="1:11">
      <c r="A17" s="31"/>
      <c r="B17" s="32"/>
      <c r="C17" s="33"/>
      <c r="D17" s="34"/>
      <c r="E17" s="33"/>
      <c r="F17" s="33"/>
      <c r="G17" s="33"/>
      <c r="H17" s="28"/>
      <c r="I17" s="28"/>
      <c r="J17" s="33"/>
      <c r="K17" s="35"/>
    </row>
    <row r="18" s="3" customFormat="1" spans="1:11">
      <c r="A18" s="31"/>
      <c r="B18" s="32"/>
      <c r="C18" s="33"/>
      <c r="D18" s="34"/>
      <c r="E18" s="33"/>
      <c r="F18" s="33"/>
      <c r="G18" s="33"/>
      <c r="H18" s="28"/>
      <c r="I18" s="28"/>
      <c r="J18" s="33"/>
      <c r="K18" s="35"/>
    </row>
    <row r="19" s="3" customFormat="1" spans="1:11">
      <c r="A19" s="31"/>
      <c r="B19" s="32"/>
      <c r="C19" s="33"/>
      <c r="D19" s="34"/>
      <c r="E19" s="33"/>
      <c r="F19" s="33"/>
      <c r="G19" s="33"/>
      <c r="H19" s="28"/>
      <c r="I19" s="28"/>
      <c r="J19" s="33"/>
      <c r="K19" s="35"/>
    </row>
    <row r="20" s="3" customFormat="1" spans="1:11">
      <c r="A20" s="31"/>
      <c r="B20" s="32"/>
      <c r="C20" s="33"/>
      <c r="D20" s="34"/>
      <c r="E20" s="33"/>
      <c r="F20" s="33"/>
      <c r="G20" s="33"/>
      <c r="H20" s="28"/>
      <c r="I20" s="28"/>
      <c r="J20" s="33"/>
      <c r="K20" s="35"/>
    </row>
    <row r="21" s="3" customFormat="1" spans="1:11">
      <c r="A21" s="31"/>
      <c r="B21" s="32"/>
      <c r="C21" s="33"/>
      <c r="D21" s="34"/>
      <c r="E21" s="33"/>
      <c r="F21" s="33"/>
      <c r="G21" s="33"/>
      <c r="H21" s="28"/>
      <c r="I21" s="28"/>
      <c r="J21" s="33"/>
      <c r="K21" s="35"/>
    </row>
    <row r="22" s="3" customFormat="1" spans="1:11">
      <c r="A22" s="31"/>
      <c r="B22" s="32"/>
      <c r="C22" s="33"/>
      <c r="D22" s="34"/>
      <c r="E22" s="33"/>
      <c r="F22" s="33"/>
      <c r="G22" s="33"/>
      <c r="H22" s="28"/>
      <c r="I22" s="28"/>
      <c r="J22" s="33"/>
      <c r="K22" s="35"/>
    </row>
    <row r="23" s="3" customFormat="1" spans="1:11">
      <c r="A23" s="31"/>
      <c r="B23" s="32"/>
      <c r="C23" s="33"/>
      <c r="D23" s="34"/>
      <c r="E23" s="33"/>
      <c r="F23" s="33"/>
      <c r="G23" s="33"/>
      <c r="H23" s="28"/>
      <c r="I23" s="28"/>
      <c r="J23" s="33"/>
      <c r="K23" s="35"/>
    </row>
    <row r="24" s="3" customFormat="1" spans="1:11">
      <c r="A24" s="31"/>
      <c r="B24" s="32"/>
      <c r="C24" s="33"/>
      <c r="D24" s="34"/>
      <c r="E24" s="33"/>
      <c r="F24" s="33"/>
      <c r="G24" s="33"/>
      <c r="H24" s="28"/>
      <c r="I24" s="28"/>
      <c r="J24" s="33"/>
      <c r="K24" s="35"/>
    </row>
    <row r="25" s="3" customFormat="1" spans="1:11">
      <c r="A25" s="31"/>
      <c r="B25" s="32"/>
      <c r="C25" s="33"/>
      <c r="D25" s="34"/>
      <c r="E25" s="33"/>
      <c r="F25" s="33"/>
      <c r="G25" s="33"/>
      <c r="H25" s="28"/>
      <c r="I25" s="28"/>
      <c r="J25" s="33"/>
      <c r="K25" s="35"/>
    </row>
    <row r="26" s="3" customFormat="1" spans="1:11">
      <c r="A26" s="31"/>
      <c r="B26" s="32"/>
      <c r="C26" s="33"/>
      <c r="D26" s="34"/>
      <c r="E26" s="33"/>
      <c r="F26" s="33"/>
      <c r="G26" s="33"/>
      <c r="H26" s="28"/>
      <c r="I26" s="28"/>
      <c r="J26" s="33"/>
      <c r="K26" s="35"/>
    </row>
    <row r="27" s="3" customFormat="1" spans="1:11">
      <c r="A27" s="31"/>
      <c r="B27" s="32"/>
      <c r="C27" s="33"/>
      <c r="D27" s="34"/>
      <c r="E27" s="33"/>
      <c r="F27" s="33"/>
      <c r="G27" s="33"/>
      <c r="H27" s="28"/>
      <c r="I27" s="28"/>
      <c r="J27" s="33"/>
      <c r="K27" s="35"/>
    </row>
    <row r="28" s="3" customFormat="1" spans="1:11">
      <c r="A28" s="31"/>
      <c r="B28" s="32"/>
      <c r="C28" s="33"/>
      <c r="D28" s="34"/>
      <c r="E28" s="33"/>
      <c r="F28" s="33"/>
      <c r="G28" s="33"/>
      <c r="H28" s="28"/>
      <c r="I28" s="28"/>
      <c r="J28" s="33"/>
      <c r="K28" s="35"/>
    </row>
    <row r="29" s="3" customFormat="1" spans="1:11">
      <c r="A29" s="31"/>
      <c r="B29" s="32"/>
      <c r="C29" s="33"/>
      <c r="D29" s="34"/>
      <c r="E29" s="33"/>
      <c r="F29" s="33"/>
      <c r="G29" s="33"/>
      <c r="H29" s="28"/>
      <c r="I29" s="28"/>
      <c r="J29" s="33"/>
      <c r="K29" s="35"/>
    </row>
    <row r="30" s="3" customFormat="1" spans="1:11">
      <c r="A30" s="31"/>
      <c r="B30" s="32"/>
      <c r="C30" s="33"/>
      <c r="D30" s="34"/>
      <c r="E30" s="33"/>
      <c r="F30" s="33"/>
      <c r="G30" s="33"/>
      <c r="H30" s="28"/>
      <c r="I30" s="28"/>
      <c r="J30" s="33"/>
      <c r="K30" s="35"/>
    </row>
    <row r="31" s="3" customFormat="1" spans="1:11">
      <c r="A31" s="32"/>
      <c r="B31" s="32"/>
      <c r="C31" s="32"/>
      <c r="D31" s="32"/>
      <c r="E31" s="32"/>
      <c r="F31" s="32"/>
      <c r="G31" s="32"/>
      <c r="H31" s="32"/>
      <c r="I31" s="32"/>
      <c r="J31" s="33"/>
      <c r="K31" s="35"/>
    </row>
    <row r="32" s="3" customFormat="1" spans="1:11">
      <c r="A32" s="33" t="s">
        <v>203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 s="3" customFormat="1" ht="13.5" customHeight="1" spans="1:11">
      <c r="A33" s="34" t="s">
        <v>204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="3" customFormat="1" spans="1:1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</row>
    <row r="35" s="3" customFormat="1" spans="1:1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s="3" customFormat="1" spans="1:1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s="3" customFormat="1" spans="1:1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</row>
    <row r="38" s="3" customFormat="1" spans="1:1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</row>
    <row r="39" s="3" customFormat="1" ht="24" customHeight="1" spans="1:11">
      <c r="A39" s="37" t="s">
        <v>205</v>
      </c>
      <c r="B39" s="38"/>
      <c r="C39" s="38"/>
      <c r="D39" s="38"/>
      <c r="E39" s="38"/>
      <c r="F39" s="38"/>
      <c r="G39" s="38"/>
      <c r="H39" s="38"/>
      <c r="I39" s="38"/>
      <c r="J39" s="39"/>
      <c r="K39" s="39"/>
    </row>
    <row r="40" s="3" customFormat="1" ht="24" customHeight="1" spans="1:11">
      <c r="A40" s="37" t="s">
        <v>206</v>
      </c>
      <c r="B40" s="38"/>
      <c r="C40" s="38"/>
      <c r="D40" s="38"/>
      <c r="E40" s="38"/>
      <c r="F40" s="38"/>
      <c r="G40" s="38"/>
      <c r="H40" s="38"/>
      <c r="I40" s="38"/>
      <c r="J40" s="39"/>
      <c r="K40" s="39"/>
    </row>
  </sheetData>
  <mergeCells count="5">
    <mergeCell ref="A1:J1"/>
    <mergeCell ref="A32:J32"/>
    <mergeCell ref="A39:J39"/>
    <mergeCell ref="A40:J40"/>
    <mergeCell ref="A33:J38"/>
  </mergeCells>
  <conditionalFormatting sqref="H6:I6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{d08e4319-00fc-41ee-b31b-d3873887c774}</x14:id>
        </ext>
      </extLst>
    </cfRule>
  </conditionalFormatting>
  <conditionalFormatting sqref="H6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{030d783e-f51b-45da-81f0-c907a61151f1}</x14:id>
        </ext>
      </extLst>
    </cfRule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{82029120-b687-4dc8-87e8-6bc5416db61d}</x14:id>
        </ext>
      </extLst>
    </cfRule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{b7b2f386-e5b3-44c3-b269-92970287b924}</x14:id>
        </ext>
      </extLst>
    </cfRule>
  </conditionalFormatting>
  <conditionalFormatting sqref="H7:I7">
    <cfRule type="dataBar" priority="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{fbe3883a-f073-4518-862e-36bc081b4958}</x14:id>
        </ext>
      </extLst>
    </cfRule>
  </conditionalFormatting>
  <conditionalFormatting sqref="H7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{e7d31039-8a7f-4959-9dd1-15b83137f2f7}</x14:id>
        </ext>
      </extLst>
    </cfRule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{c91d8091-c348-4eb4-a68a-666eee4871c4}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{d232cbaa-97e5-488a-9e18-584a9f4c50bb}</x14:id>
        </ext>
      </extLst>
    </cfRule>
  </conditionalFormatting>
  <conditionalFormatting sqref="H8:I8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{24cdfda3-c4ec-4ebf-8d61-d6e10d659679}</x14:id>
        </ext>
      </extLst>
    </cfRule>
  </conditionalFormatting>
  <conditionalFormatting sqref="H8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{711dc8fa-2f3e-486f-af68-678a86d22014}</x14:id>
        </ext>
      </extLst>
    </cfRule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{97d59cd8-dde4-4bdb-aff5-34d864f34a62}</x14:id>
        </ext>
      </extLst>
    </cfRule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{dc1df12b-78e2-4b97-a65b-a8f4b2d3793b}</x14:id>
        </ext>
      </extLst>
    </cfRule>
  </conditionalFormatting>
  <conditionalFormatting sqref="H9:I9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{096fcaa2-d1b0-4696-aa6a-3a4c70bc410d}</x14:id>
        </ext>
      </extLst>
    </cfRule>
  </conditionalFormatting>
  <conditionalFormatting sqref="H9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{529b6909-9853-49f5-acd2-6be481212112}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{58c9ba32-7f1c-4fce-9324-a32af7a759f7}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{868ff76e-96b9-4e35-a4dc-918039a74602}</x14:id>
        </ext>
      </extLst>
    </cfRule>
  </conditionalFormatting>
  <conditionalFormatting sqref="H10:I10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{f5c26ed4-31e0-416b-9df8-d0f7818ac216}</x14:id>
        </ext>
      </extLst>
    </cfRule>
  </conditionalFormatting>
  <conditionalFormatting sqref="H10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{af0138f5-37b5-4d46-bfbf-dbe6a624b61d}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{ca52b76f-969c-45f9-8481-831d5291484b}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{358eef03-9b20-43dd-8016-48b64a5a9782}</x14:id>
        </ext>
      </extLst>
    </cfRule>
  </conditionalFormatting>
  <conditionalFormatting sqref="H11:I11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{5ff36774-4511-4e06-8afb-3ac7ade88616}</x14:id>
        </ext>
      </extLst>
    </cfRule>
  </conditionalFormatting>
  <conditionalFormatting sqref="H11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{6908f145-2e1e-4b12-a4df-e848844bc76a}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{98668f51-b9d8-403a-9893-e10a11799c0d}</x14:id>
        </ext>
      </extLst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{d062ed62-6153-4464-9ac3-bcf4de89ef7e}</x14:id>
        </ext>
      </extLst>
    </cfRule>
  </conditionalFormatting>
  <conditionalFormatting sqref="H12:I12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{bdf07bbb-f5b9-475c-acc9-0896e89d97ac}</x14:id>
        </ext>
      </extLst>
    </cfRule>
  </conditionalFormatting>
  <conditionalFormatting sqref="H12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{3454ad7c-6bcc-4eb9-95b8-9d87d6c2cdb7}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{1af0394c-1951-4386-9974-4be32b97eee6}</x14:id>
        </ext>
      </extLst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{b0debcb0-1708-4653-94fa-029a0ed98a0c}</x14:id>
        </ext>
      </extLst>
    </cfRule>
  </conditionalFormatting>
  <conditionalFormatting sqref="H13:I13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{92bc1122-b947-4855-9724-1e7707146458}</x14:id>
        </ext>
      </extLst>
    </cfRule>
  </conditionalFormatting>
  <conditionalFormatting sqref="H13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{572ee52d-d31f-4ea8-8d43-ad2e9506109b}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{67982766-01ea-45d8-bc6c-54b335826077}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{76a6bd27-98bd-4e07-aa94-159543c6b8bc}</x14:id>
        </ext>
      </extLst>
    </cfRule>
  </conditionalFormatting>
  <conditionalFormatting sqref="H14:I14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{681cc86f-87fd-437b-a1e7-84d6635b3fb4}</x14:id>
        </ext>
      </extLst>
    </cfRule>
  </conditionalFormatting>
  <conditionalFormatting sqref="H14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{62d90f92-b0e5-4bba-bade-5df0b0b5cc67}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{76aacb1e-e014-455c-a935-445602e8ebb6}</x14:id>
        </ext>
      </extLs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{1627a729-d13b-48be-8595-3416cab0346f}</x14:id>
        </ext>
      </extLst>
    </cfRule>
  </conditionalFormatting>
  <conditionalFormatting sqref="H15:I15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{dd8b19b9-4f5e-4289-b8e5-34f63075308d}</x14:id>
        </ext>
      </extLst>
    </cfRule>
  </conditionalFormatting>
  <conditionalFormatting sqref="H15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{1d66a284-eb65-47ab-8d01-5cd49a779646}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{3ba96450-30b6-4888-92de-2c52555ce596}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{2eeb5f0b-e8a5-4219-9c47-1d68331c6691}</x14:id>
        </ext>
      </extLst>
    </cfRule>
  </conditionalFormatting>
  <conditionalFormatting sqref="H16:I16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{85729023-46ab-4148-bd61-a3896d609956}</x14:id>
        </ext>
      </extLst>
    </cfRule>
  </conditionalFormatting>
  <conditionalFormatting sqref="H16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{d360d994-b4cf-4594-b5ba-847302750b50}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{0726aacd-8cc7-4362-8cf8-12ec39ac3899}</x14:id>
        </ext>
      </extLst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{493c1a64-904d-40ff-95af-2bfe63909839}</x14:id>
        </ext>
      </extLst>
    </cfRule>
  </conditionalFormatting>
  <conditionalFormatting sqref="H17:I17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{6d43d205-210c-4369-9894-a35803a2cc7e}</x14:id>
        </ext>
      </extLst>
    </cfRule>
  </conditionalFormatting>
  <conditionalFormatting sqref="H17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{e1c3240f-85e2-48dd-bac7-d0a44d039be5}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{815d2393-8b8f-4446-9272-321cf4403644}</x14:id>
        </ext>
      </extLs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{63cf4653-68ea-46ac-8001-cb1b890f17d5}</x14:id>
        </ext>
      </extLst>
    </cfRule>
  </conditionalFormatting>
  <conditionalFormatting sqref="H18:I18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{3aae570d-7689-4e10-9d9c-70b38f57058d}</x14:id>
        </ext>
      </extLst>
    </cfRule>
  </conditionalFormatting>
  <conditionalFormatting sqref="H18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{fbbd3526-d902-4b02-96ec-d4e488d24c76}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{74c75146-1813-448f-80f8-5105a2762646}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{554a472b-23a5-4acf-816c-a170a7be6dea}</x14:id>
        </ext>
      </extLst>
    </cfRule>
  </conditionalFormatting>
  <conditionalFormatting sqref="H19:I19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{5b380a2f-d057-4c7d-8573-2784084ae5a9}</x14:id>
        </ext>
      </extLst>
    </cfRule>
  </conditionalFormatting>
  <conditionalFormatting sqref="H19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{02387882-4216-4515-a5fc-7aa6cf2c4c16}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{8608dbae-bf97-47bb-b72d-78f5a6f2a925}</x14:id>
        </ext>
      </extLs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{ceedd2af-2f73-4785-8529-10afc0e0f631}</x14:id>
        </ext>
      </extLst>
    </cfRule>
  </conditionalFormatting>
  <conditionalFormatting sqref="H20:I20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{757a50c7-1b15-4365-ba55-d2d6109048b4}</x14:id>
        </ext>
      </extLst>
    </cfRule>
  </conditionalFormatting>
  <conditionalFormatting sqref="H20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{fc8175b4-23e0-43b3-b3a3-9a3d4d390d3d}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{bc2ef985-ba04-4d5a-a5b3-dd8e60b696f8}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{8571ad6e-3e19-47ba-aa4a-21957e7273f5}</x14:id>
        </ext>
      </extLst>
    </cfRule>
  </conditionalFormatting>
  <conditionalFormatting sqref="H21:I21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{a301cb8a-efb0-4b47-83ef-354608b586fc}</x14:id>
        </ext>
      </extLst>
    </cfRule>
  </conditionalFormatting>
  <conditionalFormatting sqref="H21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{41407879-b5c5-457e-ad36-ee9b0972b6dd}</x14:id>
        </ext>
      </extLst>
    </cfRule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{e6b90079-d935-42a6-b278-cc641b825382}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{d38fd7b5-93eb-4e68-aa90-d89a7c2dc718}</x14:id>
        </ext>
      </extLst>
    </cfRule>
  </conditionalFormatting>
  <conditionalFormatting sqref="H22:I22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{100955c0-6f15-4f58-b1d7-d2b5e6ab37e6}</x14:id>
        </ext>
      </extLst>
    </cfRule>
  </conditionalFormatting>
  <conditionalFormatting sqref="H22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{7cace57e-7f40-426a-90f0-ffd41ed88a6b}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{d3f4894f-1f17-47fd-a262-c0995cec374f}</x14:id>
        </ext>
      </extLst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{67711123-9389-450f-b403-8dca2ac6396a}</x14:id>
        </ext>
      </extLst>
    </cfRule>
  </conditionalFormatting>
  <conditionalFormatting sqref="H23:I23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{998c1634-8a37-4216-9e2e-91c7d366ea03}</x14:id>
        </ext>
      </extLst>
    </cfRule>
  </conditionalFormatting>
  <conditionalFormatting sqref="H23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{fdde26cd-448f-4922-9341-842a46cc298f}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{679c235e-2f80-4495-9035-c3d63007dd4b}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{16d7135e-8f02-42f0-95f0-aa64ab562810}</x14:id>
        </ext>
      </extLst>
    </cfRule>
  </conditionalFormatting>
  <conditionalFormatting sqref="H24:I24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{475bf3ff-bf33-4a25-a348-6146d6926c71}</x14:id>
        </ext>
      </extLst>
    </cfRule>
  </conditionalFormatting>
  <conditionalFormatting sqref="H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{f7dbb662-b45d-4d73-afe7-9ddcb9e39b81}</x14:id>
        </ext>
      </extLst>
    </cfRule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{51460570-2e77-48d3-99e3-6bb368d517db}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{70422fd1-ca84-4df9-a52a-2ee9af42a07c}</x14:id>
        </ext>
      </extLst>
    </cfRule>
  </conditionalFormatting>
  <conditionalFormatting sqref="H25:I25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{115b01ab-ed60-48a6-b005-bac13d260863}</x14:id>
        </ext>
      </extLst>
    </cfRule>
  </conditionalFormatting>
  <conditionalFormatting sqref="H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{7eb1d3fa-4c49-43aa-9de1-029aed1ae254}</x14:id>
        </ext>
      </extLs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{60438d73-0aa7-4e72-81eb-7955d8159983}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{af91162b-336d-40ef-a3f5-5a328f0f5a77}</x14:id>
        </ext>
      </extLst>
    </cfRule>
  </conditionalFormatting>
  <conditionalFormatting sqref="H26:I26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{1f0fdc1a-a9aa-416d-9d1d-2d6ae9754dc4}</x14:id>
        </ext>
      </extLst>
    </cfRule>
  </conditionalFormatting>
  <conditionalFormatting sqref="H26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{527b7cf9-1f56-4cbf-a86e-c14f8c77bad2}</x14:id>
        </ext>
      </extLs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{9bf0d149-9e9c-474e-bd40-1ce4ab7c730b}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{d3709283-c4bb-43c4-8fcd-4f19ecb5513a}</x14:id>
        </ext>
      </extLst>
    </cfRule>
  </conditionalFormatting>
  <conditionalFormatting sqref="H27:I27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{3082aa39-0b20-406d-863c-0480d4fabbb2}</x14:id>
        </ext>
      </extLst>
    </cfRule>
  </conditionalFormatting>
  <conditionalFormatting sqref="H27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{2f10099e-4ded-49b7-8bab-cdb2098c4d05}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{e3bd5878-44b7-45f4-88da-d2f418b54df9}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{027a9129-8bca-45f7-8626-d2df71441b32}</x14:id>
        </ext>
      </extLst>
    </cfRule>
  </conditionalFormatting>
  <conditionalFormatting sqref="H28:I28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{9234b6d8-2b31-437b-ba60-623889d05797}</x14:id>
        </ext>
      </extLst>
    </cfRule>
  </conditionalFormatting>
  <conditionalFormatting sqref="H28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{5eb3da93-a5f7-49fd-b42f-1ba61f4e5ba9}</x14:id>
        </ext>
      </extLs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{b1fb0074-7e54-455f-bf44-d92dfa31ced8}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{de256d50-bc54-45d2-897a-021dbbc07101}</x14:id>
        </ext>
      </extLst>
    </cfRule>
  </conditionalFormatting>
  <conditionalFormatting sqref="H29:I29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{355547f5-0360-41f0-bc25-e2cf89d30d0a}</x14:id>
        </ext>
      </extLst>
    </cfRule>
  </conditionalFormatting>
  <conditionalFormatting sqref="H29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{97d408ec-a611-4de8-8dc9-5cc019f210df}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{4f7be7a8-d39c-4ae7-9d63-f832b986f460}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{ee3fff2a-009b-4290-89d8-dffdba40491c}</x14:id>
        </ext>
      </extLst>
    </cfRule>
  </conditionalFormatting>
  <conditionalFormatting sqref="H30:I30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{0d82b51a-662c-4074-ab55-b552de9ddad5}</x14:id>
        </ext>
      </extLst>
    </cfRule>
  </conditionalFormatting>
  <conditionalFormatting sqref="H30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{92aee84e-10ef-4956-bf21-e1073e77b4f8}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{ba98c5d6-ddf7-4861-ad08-c4f6bee853a5}</x14:id>
        </ext>
      </extLst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{d0cd7485-c3b1-45ba-ab19-6c3ce5575c84}</x14:id>
        </ext>
      </extLst>
    </cfRule>
  </conditionalFormatting>
  <conditionalFormatting sqref="H4:H5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{9424956f-ae0a-4dc0-838e-2461c2a03419}</x14:id>
        </ext>
      </extLst>
    </cfRule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{82724fbe-cace-4635-bc7a-875a894c03b4}</x14:id>
        </ext>
      </extLst>
    </cfRule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{a4c17995-bfea-4aa4-a1c9-784eff7c088e}</x14:id>
        </ext>
      </extLst>
    </cfRule>
  </conditionalFormatting>
  <conditionalFormatting sqref="J3:J4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{14914832-3d7b-4f6e-9499-1c146b8823b7}</x14:id>
        </ext>
      </extLst>
    </cfRule>
  </conditionalFormatting>
  <conditionalFormatting sqref="K3:K4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{83a26923-6577-4aee-b003-97d0988a62e7}</x14:id>
        </ext>
      </extLst>
    </cfRule>
  </conditionalFormatting>
  <conditionalFormatting sqref="H1:H3 H31:H65535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{e606f754-35ea-42a0-820f-db6a48e344af}</x14:id>
        </ext>
      </extLst>
    </cfRule>
  </conditionalFormatting>
  <conditionalFormatting sqref="H1:H3 H31:H65535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{0fb03795-66e6-40b1-b26d-aff33b0b302d}</x14:id>
        </ext>
      </extLst>
    </cfRule>
  </conditionalFormatting>
  <conditionalFormatting sqref="H4 H5:I5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{66e9522c-45ef-4882-b6cc-aec5f7ec9ab1}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8e4319-00fc-41ee-b31b-d3873887c774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H6:I6</xm:sqref>
        </x14:conditionalFormatting>
        <x14:conditionalFormatting xmlns:xm="http://schemas.microsoft.com/office/excel/2006/main">
          <x14:cfRule type="dataBar" id="{030d783e-f51b-45da-81f0-c907a6115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029120-b687-4dc8-87e8-6bc5416db61d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b7b2f386-e5b3-44c3-b269-92970287b924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H6</xm:sqref>
        </x14:conditionalFormatting>
        <x14:conditionalFormatting xmlns:xm="http://schemas.microsoft.com/office/excel/2006/main">
          <x14:cfRule type="dataBar" id="{fbe3883a-f073-4518-862e-36bc081b4958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H7:I7</xm:sqref>
        </x14:conditionalFormatting>
        <x14:conditionalFormatting xmlns:xm="http://schemas.microsoft.com/office/excel/2006/main">
          <x14:cfRule type="dataBar" id="{e7d31039-8a7f-4959-9dd1-15b83137f2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1d8091-c348-4eb4-a68a-666eee4871c4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d232cbaa-97e5-488a-9e18-584a9f4c50bb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H7</xm:sqref>
        </x14:conditionalFormatting>
        <x14:conditionalFormatting xmlns:xm="http://schemas.microsoft.com/office/excel/2006/main">
          <x14:cfRule type="dataBar" id="{24cdfda3-c4ec-4ebf-8d61-d6e10d659679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H8:I8</xm:sqref>
        </x14:conditionalFormatting>
        <x14:conditionalFormatting xmlns:xm="http://schemas.microsoft.com/office/excel/2006/main">
          <x14:cfRule type="dataBar" id="{711dc8fa-2f3e-486f-af68-678a86d220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d59cd8-dde4-4bdb-aff5-34d864f34a62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dc1df12b-78e2-4b97-a65b-a8f4b2d3793b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H8</xm:sqref>
        </x14:conditionalFormatting>
        <x14:conditionalFormatting xmlns:xm="http://schemas.microsoft.com/office/excel/2006/main">
          <x14:cfRule type="dataBar" id="{096fcaa2-d1b0-4696-aa6a-3a4c70bc410d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H9:I9</xm:sqref>
        </x14:conditionalFormatting>
        <x14:conditionalFormatting xmlns:xm="http://schemas.microsoft.com/office/excel/2006/main">
          <x14:cfRule type="dataBar" id="{529b6909-9853-49f5-acd2-6be481212112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58c9ba32-7f1c-4fce-9324-a32af7a759f7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868ff76e-96b9-4e35-a4dc-918039a746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</xm:sqref>
        </x14:conditionalFormatting>
        <x14:conditionalFormatting xmlns:xm="http://schemas.microsoft.com/office/excel/2006/main">
          <x14:cfRule type="dataBar" id="{f5c26ed4-31e0-416b-9df8-d0f7818ac216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H10:I10</xm:sqref>
        </x14:conditionalFormatting>
        <x14:conditionalFormatting xmlns:xm="http://schemas.microsoft.com/office/excel/2006/main">
          <x14:cfRule type="dataBar" id="{af0138f5-37b5-4d46-bfbf-dbe6a624b61d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ca52b76f-969c-45f9-8481-831d5291484b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358eef03-9b20-43dd-8016-48b64a5a97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</xm:sqref>
        </x14:conditionalFormatting>
        <x14:conditionalFormatting xmlns:xm="http://schemas.microsoft.com/office/excel/2006/main">
          <x14:cfRule type="dataBar" id="{5ff36774-4511-4e06-8afb-3ac7ade88616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H11:I11</xm:sqref>
        </x14:conditionalFormatting>
        <x14:conditionalFormatting xmlns:xm="http://schemas.microsoft.com/office/excel/2006/main">
          <x14:cfRule type="dataBar" id="{6908f145-2e1e-4b12-a4df-e848844bc76a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98668f51-b9d8-403a-9893-e10a11799c0d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d062ed62-6153-4464-9ac3-bcf4de89e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</xm:sqref>
        </x14:conditionalFormatting>
        <x14:conditionalFormatting xmlns:xm="http://schemas.microsoft.com/office/excel/2006/main">
          <x14:cfRule type="dataBar" id="{bdf07bbb-f5b9-475c-acc9-0896e89d97ac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H12:I12</xm:sqref>
        </x14:conditionalFormatting>
        <x14:conditionalFormatting xmlns:xm="http://schemas.microsoft.com/office/excel/2006/main">
          <x14:cfRule type="dataBar" id="{3454ad7c-6bcc-4eb9-95b8-9d87d6c2cdb7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1af0394c-1951-4386-9974-4be32b97eee6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b0debcb0-1708-4653-94fa-029a0ed98a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</xm:sqref>
        </x14:conditionalFormatting>
        <x14:conditionalFormatting xmlns:xm="http://schemas.microsoft.com/office/excel/2006/main">
          <x14:cfRule type="dataBar" id="{92bc1122-b947-4855-9724-1e7707146458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H13:I13</xm:sqref>
        </x14:conditionalFormatting>
        <x14:conditionalFormatting xmlns:xm="http://schemas.microsoft.com/office/excel/2006/main">
          <x14:cfRule type="dataBar" id="{572ee52d-d31f-4ea8-8d43-ad2e9506109b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67982766-01ea-45d8-bc6c-54b335826077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76a6bd27-98bd-4e07-aa94-159543c6b8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H13</xm:sqref>
        </x14:conditionalFormatting>
        <x14:conditionalFormatting xmlns:xm="http://schemas.microsoft.com/office/excel/2006/main">
          <x14:cfRule type="dataBar" id="{681cc86f-87fd-437b-a1e7-84d6635b3fb4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H14:I14</xm:sqref>
        </x14:conditionalFormatting>
        <x14:conditionalFormatting xmlns:xm="http://schemas.microsoft.com/office/excel/2006/main">
          <x14:cfRule type="dataBar" id="{62d90f92-b0e5-4bba-bade-5df0b0b5cc67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76aacb1e-e014-455c-a935-445602e8ebb6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1627a729-d13b-48be-8595-3416cab034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H14</xm:sqref>
        </x14:conditionalFormatting>
        <x14:conditionalFormatting xmlns:xm="http://schemas.microsoft.com/office/excel/2006/main">
          <x14:cfRule type="dataBar" id="{dd8b19b9-4f5e-4289-b8e5-34f63075308d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H15:I15</xm:sqref>
        </x14:conditionalFormatting>
        <x14:conditionalFormatting xmlns:xm="http://schemas.microsoft.com/office/excel/2006/main">
          <x14:cfRule type="dataBar" id="{1d66a284-eb65-47ab-8d01-5cd49a779646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3ba96450-30b6-4888-92de-2c52555ce596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2eeb5f0b-e8a5-4219-9c47-1d68331c66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H15</xm:sqref>
        </x14:conditionalFormatting>
        <x14:conditionalFormatting xmlns:xm="http://schemas.microsoft.com/office/excel/2006/main">
          <x14:cfRule type="dataBar" id="{85729023-46ab-4148-bd61-a3896d609956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H16:I16</xm:sqref>
        </x14:conditionalFormatting>
        <x14:conditionalFormatting xmlns:xm="http://schemas.microsoft.com/office/excel/2006/main">
          <x14:cfRule type="dataBar" id="{d360d994-b4cf-4594-b5ba-847302750b50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0726aacd-8cc7-4362-8cf8-12ec39ac3899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493c1a64-904d-40ff-95af-2bfe639098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H16</xm:sqref>
        </x14:conditionalFormatting>
        <x14:conditionalFormatting xmlns:xm="http://schemas.microsoft.com/office/excel/2006/main">
          <x14:cfRule type="dataBar" id="{6d43d205-210c-4369-9894-a35803a2cc7e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H17:I17</xm:sqref>
        </x14:conditionalFormatting>
        <x14:conditionalFormatting xmlns:xm="http://schemas.microsoft.com/office/excel/2006/main">
          <x14:cfRule type="dataBar" id="{e1c3240f-85e2-48dd-bac7-d0a44d039be5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815d2393-8b8f-4446-9272-321cf4403644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63cf4653-68ea-46ac-8001-cb1b890f17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H17</xm:sqref>
        </x14:conditionalFormatting>
        <x14:conditionalFormatting xmlns:xm="http://schemas.microsoft.com/office/excel/2006/main">
          <x14:cfRule type="dataBar" id="{3aae570d-7689-4e10-9d9c-70b38f57058d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H18:I18</xm:sqref>
        </x14:conditionalFormatting>
        <x14:conditionalFormatting xmlns:xm="http://schemas.microsoft.com/office/excel/2006/main">
          <x14:cfRule type="dataBar" id="{fbbd3526-d902-4b02-96ec-d4e488d24c76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74c75146-1813-448f-80f8-5105a2762646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554a472b-23a5-4acf-816c-a170a7be6d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H18</xm:sqref>
        </x14:conditionalFormatting>
        <x14:conditionalFormatting xmlns:xm="http://schemas.microsoft.com/office/excel/2006/main">
          <x14:cfRule type="dataBar" id="{5b380a2f-d057-4c7d-8573-2784084ae5a9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H19:I19</xm:sqref>
        </x14:conditionalFormatting>
        <x14:conditionalFormatting xmlns:xm="http://schemas.microsoft.com/office/excel/2006/main">
          <x14:cfRule type="dataBar" id="{02387882-4216-4515-a5fc-7aa6cf2c4c16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8608dbae-bf97-47bb-b72d-78f5a6f2a925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ceedd2af-2f73-4785-8529-10afc0e0f6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H19</xm:sqref>
        </x14:conditionalFormatting>
        <x14:conditionalFormatting xmlns:xm="http://schemas.microsoft.com/office/excel/2006/main">
          <x14:cfRule type="dataBar" id="{757a50c7-1b15-4365-ba55-d2d6109048b4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H20:I20</xm:sqref>
        </x14:conditionalFormatting>
        <x14:conditionalFormatting xmlns:xm="http://schemas.microsoft.com/office/excel/2006/main">
          <x14:cfRule type="dataBar" id="{fc8175b4-23e0-43b3-b3a3-9a3d4d390d3d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bc2ef985-ba04-4d5a-a5b3-dd8e60b696f8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8571ad6e-3e19-47ba-aa4a-21957e7273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</xm:sqref>
        </x14:conditionalFormatting>
        <x14:conditionalFormatting xmlns:xm="http://schemas.microsoft.com/office/excel/2006/main">
          <x14:cfRule type="dataBar" id="{a301cb8a-efb0-4b47-83ef-354608b586fc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H21:I21</xm:sqref>
        </x14:conditionalFormatting>
        <x14:conditionalFormatting xmlns:xm="http://schemas.microsoft.com/office/excel/2006/main">
          <x14:cfRule type="dataBar" id="{41407879-b5c5-457e-ad36-ee9b0972b6dd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e6b90079-d935-42a6-b278-cc641b825382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d38fd7b5-93eb-4e68-aa90-d89a7c2dc7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H21</xm:sqref>
        </x14:conditionalFormatting>
        <x14:conditionalFormatting xmlns:xm="http://schemas.microsoft.com/office/excel/2006/main">
          <x14:cfRule type="dataBar" id="{100955c0-6f15-4f58-b1d7-d2b5e6ab37e6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H22:I22</xm:sqref>
        </x14:conditionalFormatting>
        <x14:conditionalFormatting xmlns:xm="http://schemas.microsoft.com/office/excel/2006/main">
          <x14:cfRule type="dataBar" id="{7cace57e-7f40-426a-90f0-ffd41ed88a6b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d3f4894f-1f17-47fd-a262-c0995cec374f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67711123-9389-450f-b403-8dca2ac639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H22</xm:sqref>
        </x14:conditionalFormatting>
        <x14:conditionalFormatting xmlns:xm="http://schemas.microsoft.com/office/excel/2006/main">
          <x14:cfRule type="dataBar" id="{998c1634-8a37-4216-9e2e-91c7d366ea03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H23:I23</xm:sqref>
        </x14:conditionalFormatting>
        <x14:conditionalFormatting xmlns:xm="http://schemas.microsoft.com/office/excel/2006/main">
          <x14:cfRule type="dataBar" id="{fdde26cd-448f-4922-9341-842a46cc298f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679c235e-2f80-4495-9035-c3d63007dd4b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16d7135e-8f02-42f0-95f0-aa64ab5628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H23</xm:sqref>
        </x14:conditionalFormatting>
        <x14:conditionalFormatting xmlns:xm="http://schemas.microsoft.com/office/excel/2006/main">
          <x14:cfRule type="dataBar" id="{475bf3ff-bf33-4a25-a348-6146d6926c71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H24:I24</xm:sqref>
        </x14:conditionalFormatting>
        <x14:conditionalFormatting xmlns:xm="http://schemas.microsoft.com/office/excel/2006/main">
          <x14:cfRule type="dataBar" id="{f7dbb662-b45d-4d73-afe7-9ddcb9e39b81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51460570-2e77-48d3-99e3-6bb368d517db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70422fd1-ca84-4df9-a52a-2ee9af42a0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115b01ab-ed60-48a6-b005-bac13d260863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H25:I25</xm:sqref>
        </x14:conditionalFormatting>
        <x14:conditionalFormatting xmlns:xm="http://schemas.microsoft.com/office/excel/2006/main">
          <x14:cfRule type="dataBar" id="{7eb1d3fa-4c49-43aa-9de1-029aed1ae254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60438d73-0aa7-4e72-81eb-7955d8159983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af91162b-336d-40ef-a3f5-5a328f0f5a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H25</xm:sqref>
        </x14:conditionalFormatting>
        <x14:conditionalFormatting xmlns:xm="http://schemas.microsoft.com/office/excel/2006/main">
          <x14:cfRule type="dataBar" id="{1f0fdc1a-a9aa-416d-9d1d-2d6ae9754dc4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H26:I26</xm:sqref>
        </x14:conditionalFormatting>
        <x14:conditionalFormatting xmlns:xm="http://schemas.microsoft.com/office/excel/2006/main">
          <x14:cfRule type="dataBar" id="{527b7cf9-1f56-4cbf-a86e-c14f8c77bad2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9bf0d149-9e9c-474e-bd40-1ce4ab7c730b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d3709283-c4bb-43c4-8fcd-4f19ecb551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</xm:sqref>
        </x14:conditionalFormatting>
        <x14:conditionalFormatting xmlns:xm="http://schemas.microsoft.com/office/excel/2006/main">
          <x14:cfRule type="dataBar" id="{3082aa39-0b20-406d-863c-0480d4fabbb2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H27:I27</xm:sqref>
        </x14:conditionalFormatting>
        <x14:conditionalFormatting xmlns:xm="http://schemas.microsoft.com/office/excel/2006/main">
          <x14:cfRule type="dataBar" id="{2f10099e-4ded-49b7-8bab-cdb2098c4d05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e3bd5878-44b7-45f4-88da-d2f418b54df9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027a9129-8bca-45f7-8626-d2df71441b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</xm:sqref>
        </x14:conditionalFormatting>
        <x14:conditionalFormatting xmlns:xm="http://schemas.microsoft.com/office/excel/2006/main">
          <x14:cfRule type="dataBar" id="{9234b6d8-2b31-437b-ba60-623889d05797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H28:I28</xm:sqref>
        </x14:conditionalFormatting>
        <x14:conditionalFormatting xmlns:xm="http://schemas.microsoft.com/office/excel/2006/main">
          <x14:cfRule type="dataBar" id="{5eb3da93-a5f7-49fd-b42f-1ba61f4e5ba9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b1fb0074-7e54-455f-bf44-d92dfa31ced8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de256d50-bc54-45d2-897a-021dbbc071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</xm:sqref>
        </x14:conditionalFormatting>
        <x14:conditionalFormatting xmlns:xm="http://schemas.microsoft.com/office/excel/2006/main">
          <x14:cfRule type="dataBar" id="{355547f5-0360-41f0-bc25-e2cf89d30d0a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H29:I29</xm:sqref>
        </x14:conditionalFormatting>
        <x14:conditionalFormatting xmlns:xm="http://schemas.microsoft.com/office/excel/2006/main">
          <x14:cfRule type="dataBar" id="{97d408ec-a611-4de8-8dc9-5cc019f210df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4f7be7a8-d39c-4ae7-9d63-f832b986f460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ee3fff2a-009b-4290-89d8-dffdba4049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</xm:sqref>
        </x14:conditionalFormatting>
        <x14:conditionalFormatting xmlns:xm="http://schemas.microsoft.com/office/excel/2006/main">
          <x14:cfRule type="dataBar" id="{0d82b51a-662c-4074-ab55-b552de9ddad5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H30:I30</xm:sqref>
        </x14:conditionalFormatting>
        <x14:conditionalFormatting xmlns:xm="http://schemas.microsoft.com/office/excel/2006/main">
          <x14:cfRule type="dataBar" id="{92aee84e-10ef-4956-bf21-e1073e77b4f8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ba98c5d6-ddf7-4861-ad08-c4f6bee853a5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d0cd7485-c3b1-45ba-ab19-6c3ce5575c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</xm:sqref>
        </x14:conditionalFormatting>
        <x14:conditionalFormatting xmlns:xm="http://schemas.microsoft.com/office/excel/2006/main">
          <x14:cfRule type="dataBar" id="{9424956f-ae0a-4dc0-838e-2461c2a03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724fbe-cace-4635-bc7a-875a894c03b4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14:cfRule type="dataBar" id="{a4c17995-bfea-4aa4-a1c9-784eff7c088e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H4:H5</xm:sqref>
        </x14:conditionalFormatting>
        <x14:conditionalFormatting xmlns:xm="http://schemas.microsoft.com/office/excel/2006/main">
          <x14:cfRule type="dataBar" id="{14914832-3d7b-4f6e-9499-1c146b8823b7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J3:J4</xm:sqref>
        </x14:conditionalFormatting>
        <x14:conditionalFormatting xmlns:xm="http://schemas.microsoft.com/office/excel/2006/main">
          <x14:cfRule type="dataBar" id="{83a26923-6577-4aee-b003-97d0988a62e7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K3:K4</xm:sqref>
        </x14:conditionalFormatting>
        <x14:conditionalFormatting xmlns:xm="http://schemas.microsoft.com/office/excel/2006/main">
          <x14:cfRule type="dataBar" id="{e606f754-35ea-42a0-820f-db6a48e344af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H1:H3 H31:H65535</xm:sqref>
        </x14:conditionalFormatting>
        <x14:conditionalFormatting xmlns:xm="http://schemas.microsoft.com/office/excel/2006/main">
          <x14:cfRule type="dataBar" id="{0fb03795-66e6-40b1-b26d-aff33b0b302d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H1:H3 H31:H65535</xm:sqref>
        </x14:conditionalFormatting>
        <x14:conditionalFormatting xmlns:xm="http://schemas.microsoft.com/office/excel/2006/main">
          <x14:cfRule type="dataBar" id="{66e9522c-45ef-4882-b6cc-aec5f7ec9ab1}">
            <x14:dataBar minLength="0" maxLength="100" negativeBarColorSameAsPositive="1" axisPosition="none">
              <x14:cfvo type="min"/>
              <x14:cfvo type="max"/>
              <x14:axisColor indexed="65"/>
            </x14:dataBar>
          </x14:cfRule>
          <xm:sqref>H4 H5:I5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B3" sqref="B3"/>
    </sheetView>
  </sheetViews>
  <sheetFormatPr defaultColWidth="8.69090909090909" defaultRowHeight="13.75"/>
  <cols>
    <col min="1" max="1" width="8.69090909090909" style="3"/>
    <col min="2" max="2" width="9.52727272727273" style="3" customWidth="1"/>
    <col min="3" max="3" width="18.5272727272727" style="3" customWidth="1"/>
    <col min="4" max="4" width="9.52727272727273" style="3" customWidth="1"/>
    <col min="5" max="5" width="15.2909090909091" style="3" customWidth="1"/>
    <col min="6" max="6" width="15.1727272727273" style="3" customWidth="1"/>
    <col min="7" max="7" width="27.5272727272727" style="3" customWidth="1"/>
    <col min="8" max="8" width="27.3545454545455" style="3" customWidth="1"/>
    <col min="9" max="9" width="8.69090909090909" style="3"/>
    <col min="10" max="10" width="25.8727272727273" style="3" customWidth="1"/>
    <col min="11" max="11" width="8.69090909090909" style="3"/>
    <col min="12" max="12" width="25.8181818181818" style="3" customWidth="1"/>
    <col min="13" max="13" width="27.8181818181818" style="3" customWidth="1"/>
    <col min="14" max="16384" width="8.69090909090909" style="3"/>
  </cols>
  <sheetData>
    <row r="1" s="3" customFormat="1" ht="27" customHeight="1" spans="1:13">
      <c r="A1" s="10" t="s">
        <v>207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="3" customFormat="1" spans="1:13">
      <c r="A2" s="10" t="s">
        <v>136</v>
      </c>
      <c r="B2" s="10" t="s">
        <v>208</v>
      </c>
      <c r="C2" s="10" t="s">
        <v>209</v>
      </c>
      <c r="D2" s="11" t="s">
        <v>210</v>
      </c>
      <c r="E2" s="11" t="s">
        <v>211</v>
      </c>
      <c r="F2" s="10" t="s">
        <v>212</v>
      </c>
      <c r="G2" s="10" t="s">
        <v>213</v>
      </c>
      <c r="H2" s="10" t="s">
        <v>214</v>
      </c>
      <c r="I2" s="10" t="s">
        <v>215</v>
      </c>
      <c r="J2" s="10" t="s">
        <v>216</v>
      </c>
      <c r="K2" s="10" t="s">
        <v>217</v>
      </c>
      <c r="L2" s="10" t="s">
        <v>218</v>
      </c>
      <c r="M2" s="10" t="s">
        <v>219</v>
      </c>
    </row>
    <row r="3" s="3" customFormat="1" ht="27.5" spans="1:13">
      <c r="A3" s="12"/>
      <c r="B3" s="12"/>
      <c r="C3" s="12"/>
      <c r="D3" s="12"/>
      <c r="E3" s="12"/>
      <c r="F3" s="13"/>
      <c r="G3" s="14"/>
      <c r="H3" s="14"/>
      <c r="I3" s="12"/>
      <c r="J3" s="15"/>
      <c r="K3" s="12"/>
      <c r="L3" s="16"/>
      <c r="M3" s="14" t="s">
        <v>220</v>
      </c>
    </row>
    <row r="4" s="3" customFormat="1" spans="1:13">
      <c r="A4" s="12"/>
      <c r="B4" s="12"/>
      <c r="C4" s="14"/>
      <c r="D4" s="12"/>
      <c r="E4" s="12"/>
      <c r="F4" s="13"/>
      <c r="G4" s="14"/>
      <c r="H4" s="14"/>
      <c r="I4" s="14"/>
      <c r="J4" s="15"/>
      <c r="K4" s="12"/>
      <c r="L4" s="15"/>
      <c r="M4" s="14" t="s">
        <v>221</v>
      </c>
    </row>
    <row r="5" s="3" customFormat="1" spans="1:13">
      <c r="A5" s="12"/>
      <c r="B5" s="12"/>
      <c r="C5" s="14"/>
      <c r="D5" s="12"/>
      <c r="E5" s="12"/>
      <c r="F5" s="13"/>
      <c r="G5" s="14"/>
      <c r="H5" s="14"/>
      <c r="I5" s="14"/>
      <c r="J5" s="15"/>
      <c r="K5" s="12"/>
      <c r="L5" s="15"/>
      <c r="M5" s="14"/>
    </row>
    <row r="6" s="3" customFormat="1" spans="1:13">
      <c r="A6" s="12"/>
      <c r="B6" s="12"/>
      <c r="C6" s="12"/>
      <c r="D6" s="12"/>
      <c r="E6" s="12"/>
      <c r="F6" s="13"/>
      <c r="G6" s="14"/>
      <c r="H6" s="14"/>
      <c r="I6" s="12"/>
      <c r="J6" s="14"/>
      <c r="K6" s="12"/>
      <c r="L6" s="14"/>
      <c r="M6" s="14" t="s">
        <v>222</v>
      </c>
    </row>
    <row r="7" s="3" customFormat="1" spans="1:13">
      <c r="A7" s="12"/>
      <c r="B7" s="12"/>
      <c r="C7" s="12"/>
      <c r="D7" s="12"/>
      <c r="E7" s="12"/>
      <c r="F7" s="13"/>
      <c r="G7" s="14"/>
      <c r="H7" s="14"/>
      <c r="I7" s="12"/>
      <c r="J7" s="14"/>
      <c r="K7" s="12"/>
      <c r="L7" s="14"/>
      <c r="M7" s="14"/>
    </row>
    <row r="8" s="3" customFormat="1" spans="1:13">
      <c r="A8" s="12"/>
      <c r="B8" s="12"/>
      <c r="C8" s="12"/>
      <c r="D8" s="12"/>
      <c r="E8" s="12"/>
      <c r="F8" s="13"/>
      <c r="G8" s="14"/>
      <c r="H8" s="14"/>
      <c r="I8" s="12"/>
      <c r="J8" s="14"/>
      <c r="K8" s="12"/>
      <c r="L8" s="14"/>
      <c r="M8" s="14"/>
    </row>
    <row r="9" s="3" customFormat="1" spans="1:13">
      <c r="A9" s="12"/>
      <c r="B9" s="12"/>
      <c r="C9" s="12"/>
      <c r="D9" s="12"/>
      <c r="E9" s="12"/>
      <c r="F9" s="13"/>
      <c r="G9" s="14"/>
      <c r="H9" s="14"/>
      <c r="I9" s="12"/>
      <c r="J9" s="14"/>
      <c r="K9" s="12"/>
      <c r="L9" s="14"/>
      <c r="M9" s="14"/>
    </row>
    <row r="10" s="3" customFormat="1" spans="1:13">
      <c r="A10" s="12"/>
      <c r="B10" s="12"/>
      <c r="C10" s="12"/>
      <c r="D10" s="12"/>
      <c r="E10" s="12"/>
      <c r="F10" s="13"/>
      <c r="G10" s="14"/>
      <c r="H10" s="14"/>
      <c r="I10" s="12"/>
      <c r="J10" s="14"/>
      <c r="K10" s="12"/>
      <c r="L10" s="14"/>
      <c r="M10" s="14"/>
    </row>
    <row r="11" s="3" customFormat="1" spans="1:13">
      <c r="A11" s="12"/>
      <c r="B11" s="12"/>
      <c r="C11" s="12"/>
      <c r="D11" s="12"/>
      <c r="E11" s="12"/>
      <c r="F11" s="13"/>
      <c r="G11" s="14"/>
      <c r="H11" s="14"/>
      <c r="I11" s="12"/>
      <c r="J11" s="14"/>
      <c r="K11" s="12"/>
      <c r="L11" s="14"/>
      <c r="M11" s="14"/>
    </row>
    <row r="12" s="3" customFormat="1" spans="1:13">
      <c r="A12" s="12"/>
      <c r="B12" s="12"/>
      <c r="C12" s="12"/>
      <c r="D12" s="12"/>
      <c r="E12" s="12"/>
      <c r="F12" s="13"/>
      <c r="G12" s="14"/>
      <c r="H12" s="14"/>
      <c r="I12" s="12"/>
      <c r="J12" s="14"/>
      <c r="K12" s="12"/>
      <c r="L12" s="14"/>
      <c r="M12" s="14"/>
    </row>
    <row r="13" s="3" customFormat="1" spans="1:13">
      <c r="A13" s="12"/>
      <c r="B13" s="12"/>
      <c r="C13" s="12"/>
      <c r="D13" s="12"/>
      <c r="E13" s="12"/>
      <c r="F13" s="13"/>
      <c r="G13" s="14"/>
      <c r="H13" s="14"/>
      <c r="I13" s="12"/>
      <c r="J13" s="14"/>
      <c r="K13" s="12"/>
      <c r="L13" s="14"/>
      <c r="M13" s="14"/>
    </row>
    <row r="14" s="3" customFormat="1" spans="1:13">
      <c r="A14" s="12"/>
      <c r="B14" s="12"/>
      <c r="C14" s="12"/>
      <c r="D14" s="12"/>
      <c r="E14" s="12"/>
      <c r="F14" s="13"/>
      <c r="G14" s="14"/>
      <c r="H14" s="14"/>
      <c r="I14" s="12"/>
      <c r="J14" s="14"/>
      <c r="K14" s="12"/>
      <c r="L14" s="14"/>
      <c r="M14" s="14"/>
    </row>
    <row r="15" s="3" customFormat="1" spans="1:13">
      <c r="A15" s="12"/>
      <c r="B15" s="12"/>
      <c r="C15" s="12"/>
      <c r="D15" s="12"/>
      <c r="E15" s="12"/>
      <c r="F15" s="13"/>
      <c r="G15" s="14"/>
      <c r="H15" s="14"/>
      <c r="I15" s="12"/>
      <c r="J15" s="14"/>
      <c r="K15" s="12"/>
      <c r="L15" s="14"/>
      <c r="M15" s="14"/>
    </row>
    <row r="16" s="3" customFormat="1" spans="1:13">
      <c r="A16" s="12"/>
      <c r="B16" s="12"/>
      <c r="C16" s="12"/>
      <c r="D16" s="12"/>
      <c r="E16" s="12"/>
      <c r="F16" s="13"/>
      <c r="G16" s="14"/>
      <c r="H16" s="14"/>
      <c r="I16" s="12"/>
      <c r="J16" s="14"/>
      <c r="K16" s="12"/>
      <c r="L16" s="14"/>
      <c r="M16" s="14"/>
    </row>
  </sheetData>
  <mergeCells count="1">
    <mergeCell ref="A1:M1"/>
  </mergeCells>
  <dataValidations count="1">
    <dataValidation type="list" allowBlank="1" showInputMessage="1" showErrorMessage="1" sqref="D3:D16">
      <formula1>"未处理,处理中,挂起,已关闭"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6"/>
  <sheetViews>
    <sheetView workbookViewId="0">
      <selection activeCell="G13" sqref="G13"/>
    </sheetView>
  </sheetViews>
  <sheetFormatPr defaultColWidth="8.72727272727273" defaultRowHeight="13.75" outlineLevelRow="5" outlineLevelCol="4"/>
  <sheetData>
    <row r="2" spans="1:5">
      <c r="A2" s="1" t="s">
        <v>223</v>
      </c>
      <c r="B2" s="1"/>
      <c r="C2" s="1"/>
      <c r="D2" s="2">
        <v>86.72</v>
      </c>
      <c r="E2" s="3"/>
    </row>
    <row r="3" spans="1:5">
      <c r="A3" s="4" t="s">
        <v>224</v>
      </c>
      <c r="B3" s="4"/>
      <c r="C3" s="4"/>
      <c r="D3" s="5">
        <v>0.02</v>
      </c>
      <c r="E3" s="3"/>
    </row>
    <row r="4" spans="1:5">
      <c r="A4" s="4" t="s">
        <v>225</v>
      </c>
      <c r="B4" s="4"/>
      <c r="C4" s="4"/>
      <c r="D4" s="6">
        <f>D2*D3</f>
        <v>1.7344</v>
      </c>
      <c r="E4" s="3"/>
    </row>
    <row r="5" spans="1:5">
      <c r="A5" s="4" t="s">
        <v>226</v>
      </c>
      <c r="B5" s="4"/>
      <c r="C5" s="4"/>
      <c r="D5" s="7">
        <f>58.18-31.6</f>
        <v>26.58</v>
      </c>
      <c r="E5" s="3"/>
    </row>
    <row r="6" spans="1:5">
      <c r="A6" s="8" t="s">
        <v>227</v>
      </c>
      <c r="B6" s="8"/>
      <c r="C6" s="8"/>
      <c r="D6" s="9">
        <v>0.0462</v>
      </c>
      <c r="E6" s="3" t="s">
        <v>228</v>
      </c>
    </row>
  </sheetData>
  <mergeCells count="5">
    <mergeCell ref="A2:C2"/>
    <mergeCell ref="A3:C3"/>
    <mergeCell ref="A4:C4"/>
    <mergeCell ref="A5:C5"/>
    <mergeCell ref="A6:C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实施计划</vt:lpstr>
      <vt:lpstr>需确认的资源</vt:lpstr>
      <vt:lpstr>实施计划确定</vt:lpstr>
      <vt:lpstr>交付清单</vt:lpstr>
      <vt:lpstr>风险管理</vt:lpstr>
      <vt:lpstr>成本管理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李亚男</cp:lastModifiedBy>
  <dcterms:created xsi:type="dcterms:W3CDTF">2023-05-12T11:15:00Z</dcterms:created>
  <dcterms:modified xsi:type="dcterms:W3CDTF">2026-04-24T10:35:08Z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034A6FFEC8DE4C34AE5C2CF3C89FACF5_13</vt:lpwstr>
  </property>
  <property fmtid="{D5CDD505-2E9C-101B-9397-08002B2CF9AE}" pid="4" name="CalculationRule">
    <vt:i4>0</vt:i4>
  </property>
</Properties>
</file>